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🗺 전략 요약" sheetId="1" state="visible" r:id="rId3"/>
    <sheet name="📋 핵심 룰" sheetId="2" state="visible" r:id="rId4"/>
    <sheet name="📊 구간별 ROI" sheetId="3" state="visible" r:id="rId5"/>
    <sheet name="📝 베팅 기록" sheetId="4" state="visible" r:id="rId6"/>
    <sheet name="📊 언더 ROI" sheetId="5" state="visible" r:id="rId7"/>
    <sheet name="⚽ 축구 언더 ROI" sheetId="6" state="visible" r:id="rId8"/>
    <sheet name="🏀 농구 플핸 ROI" sheetId="7" state="visible" r:id="rId9"/>
    <sheet name="🏀 농구 언더 RO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<sst xmlns="http://schemas.openxmlformats.org/spreadsheetml/2006/main" count="454" uniqueCount="212">
  <si>
    <t xml:space="preserve">⚾ ⚽ 🏀  전략 의사결정 트리</t>
  </si>
  <si>
    <t xml:space="preserve">⚾  야구 역배</t>
  </si>
  <si>
    <r>
      <rPr>
        <b val="true"/>
        <sz val="9"/>
        <color rgb="FFFFFFFF"/>
        <rFont val="Noto Sans CJK SC"/>
        <family val="2"/>
      </rPr>
      <t xml:space="preserve">역배인가</t>
    </r>
    <r>
      <rPr>
        <b val="true"/>
        <sz val="9"/>
        <color rgb="FFFFFFFF"/>
        <rFont val="Arial"/>
        <family val="0"/>
        <charset val="1"/>
      </rPr>
      <t xml:space="preserve">? (</t>
    </r>
    <r>
      <rPr>
        <b val="true"/>
        <sz val="9"/>
        <color rgb="FFFFFFFF"/>
        <rFont val="Noto Sans CJK SC"/>
        <family val="2"/>
      </rPr>
      <t xml:space="preserve">배당 </t>
    </r>
    <r>
      <rPr>
        <b val="true"/>
        <sz val="9"/>
        <color rgb="FFFFFFFF"/>
        <rFont val="Arial"/>
        <family val="0"/>
        <charset val="1"/>
      </rPr>
      <t xml:space="preserve">2.10 </t>
    </r>
    <r>
      <rPr>
        <b val="true"/>
        <sz val="9"/>
        <color rgb="FFFFFFFF"/>
        <rFont val="Noto Sans CJK SC"/>
        <family val="2"/>
      </rPr>
      <t xml:space="preserve">이상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</si>
  <si>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✕  패스</t>
  </si>
  <si>
    <t xml:space="preserve">○  리그 선택</t>
  </si>
  <si>
    <t xml:space="preserve">MLB</t>
  </si>
  <si>
    <t xml:space="preserve">NPB</t>
  </si>
  <si>
    <t xml:space="preserve">KBO</t>
  </si>
  <si>
    <r>
      <rPr>
        <sz val="8"/>
        <color rgb="FFFFFFFF"/>
        <rFont val="Noto Sans CJK SC"/>
        <family val="2"/>
      </rPr>
      <t xml:space="preserve">★ 황금 </t>
    </r>
    <r>
      <rPr>
        <sz val="8"/>
        <color rgb="FFFFFFFF"/>
        <rFont val="Arial"/>
        <family val="0"/>
        <charset val="1"/>
      </rPr>
      <t xml:space="preserve">2.10~2.49
▷ </t>
    </r>
    <r>
      <rPr>
        <sz val="8"/>
        <color rgb="FFFFFFFF"/>
        <rFont val="Noto Sans CJK SC"/>
        <family val="2"/>
      </rPr>
      <t xml:space="preserve">테스트 </t>
    </r>
    <r>
      <rPr>
        <sz val="8"/>
        <color rgb="FFFFFFFF"/>
        <rFont val="Arial"/>
        <family val="0"/>
        <charset val="1"/>
      </rPr>
      <t xml:space="preserve">2.50~2.79</t>
    </r>
  </si>
  <si>
    <r>
      <rPr>
        <sz val="8"/>
        <color rgb="FFFFFFFF"/>
        <rFont val="Noto Sans CJK SC"/>
        <family val="2"/>
      </rPr>
      <t xml:space="preserve">★ 황금 </t>
    </r>
    <r>
      <rPr>
        <sz val="8"/>
        <color rgb="FFFFFFFF"/>
        <rFont val="Arial"/>
        <family val="0"/>
        <charset val="1"/>
      </rPr>
      <t xml:space="preserve">2.10~2.49
▷ </t>
    </r>
    <r>
      <rPr>
        <sz val="8"/>
        <color rgb="FFFFFFFF"/>
        <rFont val="Noto Sans CJK SC"/>
        <family val="2"/>
      </rPr>
      <t xml:space="preserve">테스트 </t>
    </r>
    <r>
      <rPr>
        <sz val="8"/>
        <color rgb="FFFFFFFF"/>
        <rFont val="Arial"/>
        <family val="0"/>
        <charset val="1"/>
      </rPr>
      <t xml:space="preserve">2.50~2.59</t>
    </r>
  </si>
  <si>
    <r>
      <rPr>
        <sz val="8"/>
        <color rgb="FFFFFFFF"/>
        <rFont val="Noto Sans CJK SC"/>
        <family val="2"/>
      </rPr>
      <t xml:space="preserve">★ 황금 </t>
    </r>
    <r>
      <rPr>
        <sz val="8"/>
        <color rgb="FFFFFFFF"/>
        <rFont val="Arial"/>
        <family val="0"/>
        <charset val="1"/>
      </rPr>
      <t xml:space="preserve">2.10~2.49
▷ </t>
    </r>
    <r>
      <rPr>
        <sz val="8"/>
        <color rgb="FFFFFFFF"/>
        <rFont val="Noto Sans CJK SC"/>
        <family val="2"/>
      </rPr>
      <t xml:space="preserve">테스트 </t>
    </r>
    <r>
      <rPr>
        <sz val="8"/>
        <color rgb="FFFFFFFF"/>
        <rFont val="Arial"/>
        <family val="0"/>
        <charset val="1"/>
      </rPr>
      <t xml:space="preserve">2.50+</t>
    </r>
    <r>
      <rPr>
        <sz val="8"/>
        <color rgb="FFFFFFFF"/>
        <rFont val="Noto Sans CJK SC"/>
        <family val="2"/>
      </rPr>
      <t xml:space="preserve">무제한</t>
    </r>
  </si>
  <si>
    <r>
      <rPr>
        <b val="true"/>
        <sz val="9"/>
        <color rgb="FFFFFFFF"/>
        <rFont val="Noto Sans CJK SC"/>
        <family val="2"/>
      </rPr>
      <t xml:space="preserve">⚾  야구 언더 </t>
    </r>
    <r>
      <rPr>
        <b val="true"/>
        <sz val="9"/>
        <color rgb="FFFFFFFF"/>
        <rFont val="Arial"/>
        <family val="0"/>
        <charset val="1"/>
      </rPr>
      <t xml:space="preserve">(MLB·NPB·KBO </t>
    </r>
    <r>
      <rPr>
        <b val="true"/>
        <sz val="9"/>
        <color rgb="FFFFFFFF"/>
        <rFont val="Noto Sans CJK SC"/>
        <family val="2"/>
      </rPr>
      <t xml:space="preserve">동일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</si>
  <si>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언더 배당이 얼마인가</t>
    </r>
    <r>
      <rPr>
        <b val="true"/>
        <sz val="9"/>
        <color rgb="FFFFFFFF"/>
        <rFont val="Arial"/>
        <family val="0"/>
        <charset val="1"/>
      </rPr>
      <t xml:space="preserve">?  (1.89 </t>
    </r>
    <r>
      <rPr>
        <b val="true"/>
        <sz val="9"/>
        <color rgb="FFFFFFFF"/>
        <rFont val="Noto Sans CJK SC"/>
        <family val="2"/>
      </rPr>
      <t xml:space="preserve">이하 → 패스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</si>
  <si>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8"/>
        <color rgb="FFFFFFFF"/>
        <rFont val="Arial"/>
        <family val="0"/>
        <charset val="1"/>
      </rPr>
      <t xml:space="preserve">S</t>
    </r>
    <r>
      <rPr>
        <sz val="8"/>
        <color rgb="FFFFFFFF"/>
        <rFont val="Noto Sans CJK SC"/>
        <family val="2"/>
      </rPr>
      <t xml:space="preserve">티어  메인
</t>
    </r>
    <r>
      <rPr>
        <sz val="8"/>
        <color rgb="FFFFFFFF"/>
        <rFont val="Arial"/>
        <family val="0"/>
        <charset val="1"/>
      </rPr>
      <t xml:space="preserve">1.90 ~ 2.09</t>
    </r>
  </si>
  <si>
    <r>
      <rPr>
        <sz val="8"/>
        <color rgb="FFFFFFFF"/>
        <rFont val="Arial"/>
        <family val="0"/>
        <charset val="1"/>
      </rPr>
      <t xml:space="preserve">A</t>
    </r>
    <r>
      <rPr>
        <sz val="8"/>
        <color rgb="FFFFFFFF"/>
        <rFont val="Noto Sans CJK SC"/>
        <family val="2"/>
      </rPr>
      <t xml:space="preserve">티어  </t>
    </r>
    <r>
      <rPr>
        <sz val="8"/>
        <color rgb="FFFFFFFF"/>
        <rFont val="Arial"/>
        <family val="0"/>
        <charset val="1"/>
      </rPr>
      <t xml:space="preserve">2</t>
    </r>
    <r>
      <rPr>
        <sz val="8"/>
        <color rgb="FFFFFFFF"/>
        <rFont val="Noto Sans CJK SC"/>
        <family val="2"/>
      </rPr>
      <t xml:space="preserve">순위
</t>
    </r>
    <r>
      <rPr>
        <sz val="8"/>
        <color rgb="FFFFFFFF"/>
        <rFont val="Arial"/>
        <family val="0"/>
        <charset val="1"/>
      </rPr>
      <t xml:space="preserve">2.10 ~ 2.29</t>
    </r>
  </si>
  <si>
    <r>
      <rPr>
        <sz val="8"/>
        <color rgb="FFFFFFFF"/>
        <rFont val="Arial"/>
        <family val="0"/>
        <charset val="1"/>
      </rPr>
      <t xml:space="preserve">B</t>
    </r>
    <r>
      <rPr>
        <sz val="8"/>
        <color rgb="FFFFFFFF"/>
        <rFont val="Noto Sans CJK SC"/>
        <family val="2"/>
      </rPr>
      <t xml:space="preserve">티어  테스트
</t>
    </r>
    <r>
      <rPr>
        <sz val="8"/>
        <color rgb="FFFFFFFF"/>
        <rFont val="Arial"/>
        <family val="0"/>
        <charset val="1"/>
      </rPr>
      <t xml:space="preserve">2.30 ~ 2.49</t>
    </r>
  </si>
  <si>
    <r>
      <rPr>
        <b val="true"/>
        <sz val="9"/>
        <color rgb="FFFFFFFF"/>
        <rFont val="Noto Sans CJK SC"/>
        <family val="2"/>
      </rPr>
      <t xml:space="preserve">⚽  축구 </t>
    </r>
    <r>
      <rPr>
        <b val="true"/>
        <sz val="9"/>
        <color rgb="FFFFFFFF"/>
        <rFont val="Arial"/>
        <family val="0"/>
        <charset val="1"/>
      </rPr>
      <t xml:space="preserve">2.5 </t>
    </r>
    <r>
      <rPr>
        <b val="true"/>
        <sz val="9"/>
        <color rgb="FFFFFFFF"/>
        <rFont val="Noto Sans CJK SC"/>
        <family val="2"/>
      </rPr>
      <t xml:space="preserve">언더  </t>
    </r>
    <r>
      <rPr>
        <b val="true"/>
        <sz val="9"/>
        <color rgb="FFFFFFFF"/>
        <rFont val="Arial"/>
        <family val="0"/>
        <charset val="1"/>
      </rPr>
      <t xml:space="preserve">(EPL·</t>
    </r>
    <r>
      <rPr>
        <b val="true"/>
        <sz val="9"/>
        <color rgb="FFFFFFFF"/>
        <rFont val="Noto Sans CJK SC"/>
        <family val="2"/>
      </rPr>
      <t xml:space="preserve">라리가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Noto Sans CJK SC"/>
        <family val="2"/>
      </rPr>
      <t xml:space="preserve">분데스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Noto Sans CJK SC"/>
        <family val="2"/>
      </rPr>
      <t xml:space="preserve">세리에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Noto Sans CJK SC"/>
        <family val="2"/>
      </rPr>
      <t xml:space="preserve">리그앙</t>
    </r>
    <r>
      <rPr>
        <b val="true"/>
        <sz val="9"/>
        <color rgb="FFFFFFFF"/>
        <rFont val="Arial"/>
        <family val="0"/>
        <charset val="1"/>
      </rPr>
      <t xml:space="preserve">·UCL)</t>
    </r>
  </si>
  <si>
    <r>
      <rPr>
        <b val="true"/>
        <sz val="9"/>
        <color rgb="FFFFFFFF"/>
        <rFont val="Noto Sans CJK SC"/>
        <family val="2"/>
      </rPr>
      <t xml:space="preserve">강팀 배당 </t>
    </r>
    <r>
      <rPr>
        <b val="true"/>
        <sz val="9"/>
        <color rgb="FFFFFFFF"/>
        <rFont val="Arial"/>
        <family val="0"/>
        <charset val="1"/>
      </rPr>
      <t xml:space="preserve">1.40 ~ 1.79</t>
    </r>
    <r>
      <rPr>
        <b val="true"/>
        <sz val="9"/>
        <color rgb="FFFFFFFF"/>
        <rFont val="Noto Sans CJK SC"/>
        <family val="2"/>
      </rPr>
      <t xml:space="preserve">인가</t>
    </r>
    <r>
      <rPr>
        <b val="true"/>
        <sz val="9"/>
        <color rgb="FFFFFFFF"/>
        <rFont val="Arial"/>
        <family val="0"/>
        <charset val="1"/>
      </rPr>
      <t xml:space="preserve">? (</t>
    </r>
    <r>
      <rPr>
        <b val="true"/>
        <sz val="9"/>
        <color rgb="FFFFFFFF"/>
        <rFont val="Noto Sans CJK SC"/>
        <family val="2"/>
      </rPr>
      <t xml:space="preserve">홈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원정 무관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</si>
  <si>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8"/>
        <color rgb="FFFFFFFF"/>
        <rFont val="Noto Sans CJK SC"/>
        <family val="2"/>
      </rPr>
      <t xml:space="preserve">✕  패스 </t>
    </r>
    <r>
      <rPr>
        <b val="true"/>
        <sz val="8"/>
        <color rgb="FFFFFFFF"/>
        <rFont val="Arial"/>
        <family val="0"/>
        <charset val="1"/>
      </rPr>
      <t xml:space="preserve">(1.39 </t>
    </r>
    <r>
      <rPr>
        <b val="true"/>
        <sz val="8"/>
        <color rgb="FFFFFFFF"/>
        <rFont val="Noto Sans CJK SC"/>
        <family val="2"/>
      </rPr>
      <t xml:space="preserve">이하 </t>
    </r>
    <r>
      <rPr>
        <b val="true"/>
        <sz val="8"/>
        <color rgb="FFFFFFFF"/>
        <rFont val="Arial"/>
        <family val="0"/>
        <charset val="1"/>
      </rPr>
      <t xml:space="preserve">or 1.80 </t>
    </r>
    <r>
      <rPr>
        <b val="true"/>
        <sz val="8"/>
        <color rgb="FFFFFFFF"/>
        <rFont val="Noto Sans CJK SC"/>
        <family val="2"/>
      </rPr>
      <t xml:space="preserve">이상</t>
    </r>
    <r>
      <rPr>
        <b val="true"/>
        <sz val="8"/>
        <color rgb="FFFFFFFF"/>
        <rFont val="Arial"/>
        <family val="0"/>
        <charset val="1"/>
      </rPr>
      <t xml:space="preserve">)</t>
    </r>
  </si>
  <si>
    <t xml:space="preserve">○  언더 배당 확인</t>
  </si>
  <si>
    <r>
      <rPr>
        <sz val="8"/>
        <color rgb="FFFFFFFF"/>
        <rFont val="Arial"/>
        <family val="0"/>
        <charset val="1"/>
      </rPr>
      <t xml:space="preserve">S</t>
    </r>
    <r>
      <rPr>
        <sz val="8"/>
        <color rgb="FFFFFFFF"/>
        <rFont val="Noto Sans CJK SC"/>
        <family val="2"/>
      </rPr>
      <t xml:space="preserve">티어  메인
</t>
    </r>
    <r>
      <rPr>
        <sz val="8"/>
        <color rgb="FFFFFFFF"/>
        <rFont val="Arial"/>
        <family val="0"/>
        <charset val="1"/>
      </rPr>
      <t xml:space="preserve">1.80 ~ 2.09</t>
    </r>
  </si>
  <si>
    <r>
      <rPr>
        <sz val="8"/>
        <color rgb="FFFFFFFF"/>
        <rFont val="Arial"/>
        <family val="0"/>
        <charset val="1"/>
      </rPr>
      <t xml:space="preserve">A</t>
    </r>
    <r>
      <rPr>
        <sz val="8"/>
        <color rgb="FFFFFFFF"/>
        <rFont val="Noto Sans CJK SC"/>
        <family val="2"/>
      </rPr>
      <t xml:space="preserve">티어  테스트
</t>
    </r>
    <r>
      <rPr>
        <sz val="8"/>
        <color rgb="FFFFFFFF"/>
        <rFont val="Arial"/>
        <family val="0"/>
        <charset val="1"/>
      </rPr>
      <t xml:space="preserve">2.10 ~ 2.29</t>
    </r>
  </si>
  <si>
    <r>
      <rPr>
        <b val="true"/>
        <sz val="9"/>
        <color rgb="FFFFFFFF"/>
        <rFont val="Noto Sans CJK SC"/>
        <family val="2"/>
      </rPr>
      <t xml:space="preserve">🏀  농구 플핸  </t>
    </r>
    <r>
      <rPr>
        <b val="true"/>
        <sz val="9"/>
        <color rgb="FFFFFFFF"/>
        <rFont val="Arial"/>
        <family val="0"/>
        <charset val="1"/>
      </rPr>
      <t xml:space="preserve">(NBA·</t>
    </r>
    <r>
      <rPr>
        <b val="true"/>
        <sz val="9"/>
        <color rgb="FFFFFFFF"/>
        <rFont val="Noto Sans CJK SC"/>
        <family val="2"/>
      </rPr>
      <t xml:space="preserve">유로리그</t>
    </r>
    <r>
      <rPr>
        <b val="true"/>
        <sz val="9"/>
        <color rgb="FFFFFFFF"/>
        <rFont val="Arial"/>
        <family val="0"/>
        <charset val="1"/>
      </rPr>
      <t xml:space="preserve">·KBL·B</t>
    </r>
    <r>
      <rPr>
        <b val="true"/>
        <sz val="9"/>
        <color rgb="FFFFFFFF"/>
        <rFont val="Noto Sans CJK SC"/>
        <family val="2"/>
      </rPr>
      <t xml:space="preserve">리그</t>
    </r>
    <r>
      <rPr>
        <b val="true"/>
        <sz val="9"/>
        <color rgb="FFFFFFFF"/>
        <rFont val="Arial"/>
        <family val="0"/>
        <charset val="1"/>
      </rPr>
      <t xml:space="preserve">·CBA)</t>
    </r>
  </si>
  <si>
    <r>
      <rPr>
        <b val="true"/>
        <sz val="9"/>
        <color rgb="FFFFFFFF"/>
        <rFont val="Noto Sans CJK SC"/>
        <family val="2"/>
      </rPr>
      <t xml:space="preserve">플핸 배당 </t>
    </r>
    <r>
      <rPr>
        <b val="true"/>
        <sz val="9"/>
        <color rgb="FFFFFFFF"/>
        <rFont val="Arial"/>
        <family val="0"/>
        <charset val="1"/>
      </rPr>
      <t xml:space="preserve">1.90 </t>
    </r>
    <r>
      <rPr>
        <b val="true"/>
        <sz val="9"/>
        <color rgb="FFFFFFFF"/>
        <rFont val="Noto Sans CJK SC"/>
        <family val="2"/>
      </rPr>
      <t xml:space="preserve">이상인가</t>
    </r>
    <r>
      <rPr>
        <b val="true"/>
        <sz val="9"/>
        <color rgb="FFFFFFFF"/>
        <rFont val="Arial"/>
        <family val="0"/>
        <charset val="1"/>
      </rPr>
      <t xml:space="preserve">?  (1.89 </t>
    </r>
    <r>
      <rPr>
        <b val="true"/>
        <sz val="9"/>
        <color rgb="FFFFFFFF"/>
        <rFont val="Noto Sans CJK SC"/>
        <family val="2"/>
      </rPr>
      <t xml:space="preserve">이하 → 패스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</si>
  <si>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스프레드 구간은</t>
    </r>
    <r>
      <rPr>
        <b val="true"/>
        <sz val="9"/>
        <color rgb="FFFFFFFF"/>
        <rFont val="Arial"/>
        <family val="0"/>
        <charset val="1"/>
      </rPr>
      <t xml:space="preserve">?</t>
    </r>
  </si>
  <si>
    <r>
      <rPr>
        <sz val="8"/>
        <color rgb="FFFFFFFF"/>
        <rFont val="Arial"/>
        <family val="0"/>
        <charset val="1"/>
      </rPr>
      <t xml:space="preserve">S</t>
    </r>
    <r>
      <rPr>
        <sz val="8"/>
        <color rgb="FFFFFFFF"/>
        <rFont val="Noto Sans CJK SC"/>
        <family val="2"/>
      </rPr>
      <t xml:space="preserve">티어  메인
</t>
    </r>
    <r>
      <rPr>
        <sz val="8"/>
        <color rgb="FFFFFFFF"/>
        <rFont val="Arial"/>
        <family val="0"/>
        <charset val="1"/>
      </rPr>
      <t xml:space="preserve">+6.5 ~ +9.5</t>
    </r>
  </si>
  <si>
    <r>
      <rPr>
        <sz val="8"/>
        <color rgb="FFFFFFFF"/>
        <rFont val="Arial"/>
        <family val="0"/>
        <charset val="1"/>
      </rPr>
      <t xml:space="preserve">A</t>
    </r>
    <r>
      <rPr>
        <sz val="8"/>
        <color rgb="FFFFFFFF"/>
        <rFont val="Noto Sans CJK SC"/>
        <family val="2"/>
      </rPr>
      <t xml:space="preserve">티어  </t>
    </r>
    <r>
      <rPr>
        <sz val="8"/>
        <color rgb="FFFFFFFF"/>
        <rFont val="Arial"/>
        <family val="0"/>
        <charset val="1"/>
      </rPr>
      <t xml:space="preserve">2</t>
    </r>
    <r>
      <rPr>
        <sz val="8"/>
        <color rgb="FFFFFFFF"/>
        <rFont val="Noto Sans CJK SC"/>
        <family val="2"/>
      </rPr>
      <t xml:space="preserve">순위
</t>
    </r>
    <r>
      <rPr>
        <sz val="8"/>
        <color rgb="FFFFFFFF"/>
        <rFont val="Arial"/>
        <family val="0"/>
        <charset val="1"/>
      </rPr>
      <t xml:space="preserve">+10.5 ~ +12.5</t>
    </r>
  </si>
  <si>
    <r>
      <rPr>
        <sz val="8"/>
        <color rgb="FFFFFFFF"/>
        <rFont val="Arial"/>
        <family val="0"/>
        <charset val="1"/>
      </rPr>
      <t xml:space="preserve">B</t>
    </r>
    <r>
      <rPr>
        <sz val="8"/>
        <color rgb="FFFFFFFF"/>
        <rFont val="Noto Sans CJK SC"/>
        <family val="2"/>
      </rPr>
      <t xml:space="preserve">티어  테스트
</t>
    </r>
    <r>
      <rPr>
        <sz val="8"/>
        <color rgb="FFFFFFFF"/>
        <rFont val="Arial"/>
        <family val="0"/>
        <charset val="1"/>
      </rPr>
      <t xml:space="preserve">+5.5 / +13.5~+14.5</t>
    </r>
  </si>
  <si>
    <r>
      <rPr>
        <b val="true"/>
        <sz val="9"/>
        <color rgb="FFFFFFFF"/>
        <rFont val="Noto Sans CJK SC"/>
        <family val="2"/>
      </rPr>
      <t xml:space="preserve">🏀  농구 언더 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홈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원정 무관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</si>
  <si>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정배 배당 </t>
    </r>
    <r>
      <rPr>
        <b val="true"/>
        <sz val="9"/>
        <color rgb="FFFFFFFF"/>
        <rFont val="Arial"/>
        <family val="0"/>
        <charset val="1"/>
      </rPr>
      <t xml:space="preserve">1.20 ~ 1.59</t>
    </r>
    <r>
      <rPr>
        <b val="true"/>
        <sz val="9"/>
        <color rgb="FFFFFFFF"/>
        <rFont val="Noto Sans CJK SC"/>
        <family val="2"/>
      </rPr>
      <t xml:space="preserve">인가</t>
    </r>
    <r>
      <rPr>
        <b val="true"/>
        <sz val="9"/>
        <color rgb="FFFFFFFF"/>
        <rFont val="Arial"/>
        <family val="0"/>
        <charset val="1"/>
      </rPr>
      <t xml:space="preserve">?  (</t>
    </r>
    <r>
      <rPr>
        <b val="true"/>
        <sz val="9"/>
        <color rgb="FFFFFFFF"/>
        <rFont val="Noto Sans CJK SC"/>
        <family val="2"/>
      </rPr>
      <t xml:space="preserve">범위 밖 → 패스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</si>
  <si>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8"/>
        <color rgb="FFFFFFFF"/>
        <rFont val="Arial"/>
        <family val="0"/>
        <charset val="1"/>
      </rPr>
      <t xml:space="preserve">1</t>
    </r>
    <r>
      <rPr>
        <sz val="8"/>
        <color rgb="FFFFFFFF"/>
        <rFont val="Noto Sans CJK SC"/>
        <family val="2"/>
      </rPr>
      <t xml:space="preserve">순위
</t>
    </r>
    <r>
      <rPr>
        <sz val="8"/>
        <color rgb="FFFFFFFF"/>
        <rFont val="Arial"/>
        <family val="0"/>
        <charset val="1"/>
      </rPr>
      <t xml:space="preserve">2.00 </t>
    </r>
    <r>
      <rPr>
        <sz val="8"/>
        <color rgb="FFFFFFFF"/>
        <rFont val="Noto Sans CJK SC"/>
        <family val="2"/>
      </rPr>
      <t xml:space="preserve">이상</t>
    </r>
  </si>
  <si>
    <r>
      <rPr>
        <sz val="8"/>
        <color rgb="FFFFFFFF"/>
        <rFont val="Arial"/>
        <family val="0"/>
        <charset val="1"/>
      </rPr>
      <t xml:space="preserve">2</t>
    </r>
    <r>
      <rPr>
        <sz val="8"/>
        <color rgb="FFFFFFFF"/>
        <rFont val="Noto Sans CJK SC"/>
        <family val="2"/>
      </rPr>
      <t xml:space="preserve">순위
</t>
    </r>
    <r>
      <rPr>
        <sz val="8"/>
        <color rgb="FFFFFFFF"/>
        <rFont val="Arial"/>
        <family val="0"/>
        <charset val="1"/>
      </rPr>
      <t xml:space="preserve">1.90 ~ 1.99</t>
    </r>
  </si>
  <si>
    <t xml:space="preserve">💡  공통 원칙</t>
  </si>
  <si>
    <r>
      <rPr>
        <b val="true"/>
        <sz val="9"/>
        <color rgb="FFFFFFFF"/>
        <rFont val="Arial"/>
        <family val="0"/>
        <charset val="1"/>
      </rPr>
      <t xml:space="preserve">  1</t>
    </r>
    <r>
      <rPr>
        <b val="true"/>
        <sz val="9"/>
        <color rgb="FFFFFFFF"/>
        <rFont val="Noto Sans CJK SC"/>
        <family val="2"/>
      </rPr>
      <t xml:space="preserve">순위</t>
    </r>
  </si>
  <si>
    <r>
      <rPr>
        <sz val="9"/>
        <rFont val="Noto Sans CJK SC"/>
        <family val="2"/>
      </rPr>
      <t xml:space="preserve">배당만 본다 — 선발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날씨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라인업 없음</t>
    </r>
  </si>
  <si>
    <r>
      <rPr>
        <b val="true"/>
        <sz val="9"/>
        <color rgb="FFFFFFFF"/>
        <rFont val="Arial"/>
        <family val="0"/>
        <charset val="1"/>
      </rPr>
      <t xml:space="preserve">  2</t>
    </r>
    <r>
      <rPr>
        <b val="true"/>
        <sz val="9"/>
        <color rgb="FFFFFFFF"/>
        <rFont val="Noto Sans CJK SC"/>
        <family val="2"/>
      </rPr>
      <t xml:space="preserve">순위</t>
    </r>
  </si>
  <si>
    <t xml:space="preserve">퍼블릭 쏠림 반대 방향이 구조적 엣지</t>
  </si>
  <si>
    <r>
      <rPr>
        <b val="true"/>
        <sz val="9"/>
        <color rgb="FFFFFFFF"/>
        <rFont val="Arial"/>
        <family val="0"/>
        <charset val="1"/>
      </rPr>
      <t xml:space="preserve">  3</t>
    </r>
    <r>
      <rPr>
        <b val="true"/>
        <sz val="9"/>
        <color rgb="FFFFFFFF"/>
        <rFont val="Noto Sans CJK SC"/>
        <family val="2"/>
      </rPr>
      <t xml:space="preserve">순위</t>
    </r>
  </si>
  <si>
    <t xml:space="preserve">구간 이탈 시 무조건 패스</t>
  </si>
  <si>
    <r>
      <rPr>
        <b val="true"/>
        <sz val="9"/>
        <color rgb="FFFFFFFF"/>
        <rFont val="Arial"/>
        <family val="0"/>
        <charset val="1"/>
      </rPr>
      <t xml:space="preserve">  4</t>
    </r>
    <r>
      <rPr>
        <b val="true"/>
        <sz val="9"/>
        <color rgb="FFFFFFFF"/>
        <rFont val="Noto Sans CJK SC"/>
        <family val="2"/>
      </rPr>
      <t xml:space="preserve">순위</t>
    </r>
  </si>
  <si>
    <t xml:space="preserve">구간별 분리 기록 — 합산 절대 금지</t>
  </si>
  <si>
    <r>
      <rPr>
        <b val="true"/>
        <sz val="9"/>
        <color rgb="FFFFFFFF"/>
        <rFont val="Arial"/>
        <family val="0"/>
        <charset val="1"/>
      </rPr>
      <t xml:space="preserve">  5</t>
    </r>
    <r>
      <rPr>
        <b val="true"/>
        <sz val="9"/>
        <color rgb="FFFFFFFF"/>
        <rFont val="Noto Sans CJK SC"/>
        <family val="2"/>
      </rPr>
      <t xml:space="preserve">순위</t>
    </r>
  </si>
  <si>
    <r>
      <rPr>
        <sz val="9"/>
        <rFont val="Noto Sans CJK SC"/>
        <family val="2"/>
      </rPr>
      <t xml:space="preserve">최소 </t>
    </r>
    <r>
      <rPr>
        <sz val="9"/>
        <rFont val="Arial"/>
        <family val="0"/>
        <charset val="1"/>
      </rPr>
      <t xml:space="preserve">100</t>
    </r>
    <r>
      <rPr>
        <sz val="9"/>
        <rFont val="Noto Sans CJK SC"/>
        <family val="2"/>
      </rPr>
      <t xml:space="preserve">건 이상 후 구간 판단</t>
    </r>
  </si>
  <si>
    <t xml:space="preserve">⚾  야구 역배 베팅 전략 룰북 v1.0</t>
  </si>
  <si>
    <r>
      <rPr>
        <i val="true"/>
        <sz val="10"/>
        <color rgb="FF888888"/>
        <rFont val="Arial"/>
        <family val="0"/>
        <charset val="1"/>
      </rPr>
      <t xml:space="preserve">MLB · NPB · KBO  |  </t>
    </r>
    <r>
      <rPr>
        <i val="true"/>
        <sz val="10"/>
        <color rgb="FF888888"/>
        <rFont val="Noto Sans CJK SC"/>
        <family val="2"/>
      </rPr>
      <t xml:space="preserve">데이터 기반 역배 황금 구간 전략</t>
    </r>
  </si>
  <si>
    <t xml:space="preserve">■  전략 기본 원칙</t>
  </si>
  <si>
    <r>
      <rPr>
        <b val="true"/>
        <sz val="10"/>
        <color rgb="FF000000"/>
        <rFont val="Arial"/>
        <family val="0"/>
        <charset val="1"/>
      </rPr>
      <t xml:space="preserve">  1.  </t>
    </r>
    <r>
      <rPr>
        <b val="true"/>
        <sz val="10"/>
        <color rgb="FF000000"/>
        <rFont val="Noto Sans CJK SC"/>
        <family val="2"/>
      </rPr>
      <t xml:space="preserve">배당만 본다</t>
    </r>
  </si>
  <si>
    <t xml:space="preserve">선발·날씨·라인업 무시. 배당 숫자가 유일한 진입 기준.</t>
  </si>
  <si>
    <r>
      <rPr>
        <b val="true"/>
        <sz val="10"/>
        <color rgb="FF000000"/>
        <rFont val="Arial"/>
        <family val="0"/>
        <charset val="1"/>
      </rPr>
      <t xml:space="preserve">  2.  </t>
    </r>
    <r>
      <rPr>
        <b val="true"/>
        <sz val="10"/>
        <color rgb="FF000000"/>
        <rFont val="Noto Sans CJK SC"/>
        <family val="2"/>
      </rPr>
      <t xml:space="preserve">역배만 베팅한다</t>
    </r>
  </si>
  <si>
    <t xml:space="preserve">정배 베팅 없음. 퍼블릭 쏠림 구조적 비효율 이용.</t>
  </si>
  <si>
    <r>
      <rPr>
        <b val="true"/>
        <sz val="10"/>
        <color rgb="FF000000"/>
        <rFont val="Arial"/>
        <family val="0"/>
        <charset val="1"/>
      </rPr>
      <t xml:space="preserve">  3.  </t>
    </r>
    <r>
      <rPr>
        <b val="true"/>
        <sz val="10"/>
        <color rgb="FF000000"/>
        <rFont val="Noto Sans CJK SC"/>
        <family val="2"/>
      </rPr>
      <t xml:space="preserve">구간 이탈 시 패스</t>
    </r>
  </si>
  <si>
    <t xml:space="preserve">황금 구간 미달 시 그날 해당 리그는 쉰다.</t>
  </si>
  <si>
    <r>
      <rPr>
        <b val="true"/>
        <sz val="10"/>
        <color rgb="FF000000"/>
        <rFont val="Arial"/>
        <family val="0"/>
        <charset val="1"/>
      </rPr>
      <t xml:space="preserve">  4.  </t>
    </r>
    <r>
      <rPr>
        <b val="true"/>
        <sz val="10"/>
        <color rgb="FF000000"/>
        <rFont val="Noto Sans CJK SC"/>
        <family val="2"/>
      </rPr>
      <t xml:space="preserve">구간별 기록 필수</t>
    </r>
  </si>
  <si>
    <r>
      <rPr>
        <sz val="10"/>
        <color rgb="FF000000"/>
        <rFont val="Arial"/>
        <family val="0"/>
        <charset val="1"/>
      </rPr>
      <t xml:space="preserve">0.1 </t>
    </r>
    <r>
      <rPr>
        <sz val="10"/>
        <color rgb="FF000000"/>
        <rFont val="Noto Sans CJK SC"/>
        <family val="2"/>
      </rPr>
      <t xml:space="preserve">단위 구간별로 수익 분리 트래킹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합산 금지</t>
    </r>
    <r>
      <rPr>
        <sz val="10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</si>
  <si>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000000"/>
        <rFont val="Arial"/>
        <family val="0"/>
        <charset val="1"/>
      </rPr>
      <t xml:space="preserve">  5.  </t>
    </r>
    <r>
      <rPr>
        <b val="true"/>
        <sz val="10"/>
        <color rgb="FF000000"/>
        <rFont val="Noto Sans CJK SC"/>
        <family val="2"/>
      </rPr>
      <t xml:space="preserve">장기 운영</t>
    </r>
  </si>
  <si>
    <t xml:space="preserve">단기 결과에 흔들리지 않음. 최소 100건 이상 쌓인 후 판단.</t>
  </si>
  <si>
    <t xml:space="preserve">■  리그별 역배 진입 구간</t>
  </si>
  <si>
    <t xml:space="preserve">리그</t>
  </si>
  <si>
    <t xml:space="preserve">진입 구간</t>
  </si>
  <si>
    <t xml:space="preserve">상한 이유</t>
  </si>
  <si>
    <t xml:space="preserve">특이사항</t>
  </si>
  <si>
    <t xml:space="preserve">⚾  MLB</t>
  </si>
  <si>
    <t xml:space="preserve">2.10 ~ 2.79</t>
  </si>
  <si>
    <r>
      <rPr>
        <sz val="10"/>
        <color rgb="FF000000"/>
        <rFont val="Arial"/>
        <family val="0"/>
        <charset val="1"/>
      </rPr>
      <t xml:space="preserve">2.80 </t>
    </r>
    <r>
      <rPr>
        <sz val="10"/>
        <color rgb="FF000000"/>
        <rFont val="Noto Sans CJK SC"/>
        <family val="2"/>
      </rPr>
      <t xml:space="preserve">이상은 표본 너무 적음
불안정 구간 데이터 부족</t>
    </r>
  </si>
  <si>
    <t xml:space="preserve">홈 역배 우선
Pinnacle 기준 확인 권장</t>
  </si>
  <si>
    <t xml:space="preserve">🇯🇵  NPB</t>
  </si>
  <si>
    <t xml:space="preserve">2.10 ~ 2.59</t>
  </si>
  <si>
    <t xml:space="preserve">불펜 안정 → 2.60 이상은
정배팀 리드 유지율 높음</t>
  </si>
  <si>
    <t xml:space="preserve">투고타저 → 접전 多
요미우리 상대 역배 주목</t>
  </si>
  <si>
    <t xml:space="preserve">🇰🇷  KBO</t>
  </si>
  <si>
    <r>
      <rPr>
        <sz val="10"/>
        <color rgb="FF000000"/>
        <rFont val="Arial"/>
        <family val="0"/>
        <charset val="1"/>
      </rPr>
      <t xml:space="preserve">2.10 ~ </t>
    </r>
    <r>
      <rPr>
        <sz val="10"/>
        <color rgb="FF000000"/>
        <rFont val="Noto Sans CJK SC"/>
        <family val="2"/>
      </rPr>
      <t xml:space="preserve">제한없음</t>
    </r>
  </si>
  <si>
    <t xml:space="preserve">불펜 불안 → 어느 구간이든
역전 빈도 높음 (테스트 목적)</t>
  </si>
  <si>
    <r>
      <rPr>
        <sz val="10"/>
        <color rgb="FF000000"/>
        <rFont val="Arial"/>
        <family val="0"/>
        <charset val="1"/>
      </rPr>
      <t xml:space="preserve">2.09 </t>
    </r>
    <r>
      <rPr>
        <sz val="10"/>
        <color rgb="FF000000"/>
        <rFont val="Noto Sans CJK SC"/>
        <family val="2"/>
      </rPr>
      <t xml:space="preserve">이하는 패스
구간별 분리 기록 필수</t>
    </r>
  </si>
  <si>
    <t xml:space="preserve">■  무조건 패스 기준</t>
  </si>
  <si>
    <t xml:space="preserve">  MLB</t>
  </si>
  <si>
    <t xml:space="preserve">배당 2.09 이하 또는 2.80 이상</t>
  </si>
  <si>
    <t xml:space="preserve">  NPB</t>
  </si>
  <si>
    <t xml:space="preserve">배당 2.09 이하 또는 2.60 이상</t>
  </si>
  <si>
    <t xml:space="preserve">  KBO</t>
  </si>
  <si>
    <t xml:space="preserve">배당 2.09 이하 (정배 구간)</t>
  </si>
  <si>
    <t xml:space="preserve">■  언더 전략 — 언오버 퍼블릭 역이용</t>
  </si>
  <si>
    <t xml:space="preserve">  퍼블릭이 오버에 쏠릴수록 언더 배당이 올라감 → 언더 배당 1.90~2.49 구간이 구조적 엣지</t>
  </si>
  <si>
    <t xml:space="preserve">티어</t>
  </si>
  <si>
    <t xml:space="preserve">언더 배당 구간</t>
  </si>
  <si>
    <t xml:space="preserve">오버 배당 수준</t>
  </si>
  <si>
    <t xml:space="preserve">운영 방식</t>
  </si>
  <si>
    <t xml:space="preserve">근거</t>
  </si>
  <si>
    <t xml:space="preserve">S</t>
  </si>
  <si>
    <t xml:space="preserve">1.90 ~ 2.09</t>
  </si>
  <si>
    <t xml:space="preserve">메인 베팅</t>
  </si>
  <si>
    <t xml:space="preserve">마진 최저 + 퍼블릭 쏠림 가장 명확</t>
  </si>
  <si>
    <t xml:space="preserve">A</t>
  </si>
  <si>
    <t xml:space="preserve">2.10 ~ 2.29</t>
  </si>
  <si>
    <t xml:space="preserve">1.70 ~ 1.85</t>
  </si>
  <si>
    <t xml:space="preserve">롤링 여유 있을 때</t>
  </si>
  <si>
    <t xml:space="preserve">쏠림 있지만 마진 올라가기 시작</t>
  </si>
  <si>
    <t xml:space="preserve">B</t>
  </si>
  <si>
    <t xml:space="preserve">2.30 ~ 2.49</t>
  </si>
  <si>
    <t xml:space="preserve">1.60 ~ 1.75</t>
  </si>
  <si>
    <t xml:space="preserve">소액 테스트만</t>
  </si>
  <si>
    <t xml:space="preserve">마진 높음 + 배당사 오버 확률 반영 가능</t>
  </si>
  <si>
    <t xml:space="preserve">■  구간별 손익분기 적중률 (이 이상 맞춰야 본전)</t>
  </si>
  <si>
    <t xml:space="preserve">구간</t>
  </si>
  <si>
    <t xml:space="preserve">손익분기 적중률</t>
  </si>
  <si>
    <t xml:space="preserve">1.90 ~ 1.99</t>
  </si>
  <si>
    <t xml:space="preserve">52.6 ~ 53.3%</t>
  </si>
  <si>
    <t xml:space="preserve">2.00 ~ 2.09</t>
  </si>
  <si>
    <t xml:space="preserve">50.0 ~ 51.2%</t>
  </si>
  <si>
    <t xml:space="preserve">2.10 ~ 2.19</t>
  </si>
  <si>
    <t xml:space="preserve">47.8 ~ 49.0%</t>
  </si>
  <si>
    <t xml:space="preserve">2.20 ~ 2.29</t>
  </si>
  <si>
    <t xml:space="preserve">45.9 ~ 47.3%</t>
  </si>
  <si>
    <t xml:space="preserve">2.30 ~ 2.39</t>
  </si>
  <si>
    <t xml:space="preserve">44.2 ~ 45.6%</t>
  </si>
  <si>
    <t xml:space="preserve">2.40 ~ 2.49</t>
  </si>
  <si>
    <t xml:space="preserve">42.7 ~ 44.1%</t>
  </si>
  <si>
    <t xml:space="preserve">■  축구 전략 — 2.5 언더</t>
  </si>
  <si>
    <t xml:space="preserve">  강팀이 안전하게 닫고 약팀이 수비적으로 버팀 → 저득점 패턴 → 퍼블릭 오버 쏠림 역이용 (홈/원정 무관)</t>
  </si>
  <si>
    <t xml:space="preserve">조건</t>
  </si>
  <si>
    <t xml:space="preserve">기준</t>
  </si>
  <si>
    <t xml:space="preserve">이유</t>
  </si>
  <si>
    <t xml:space="preserve">강팀 배당 (홈/원정 무관)</t>
  </si>
  <si>
    <t xml:space="preserve">1.40 ~ 1.79</t>
  </si>
  <si>
    <t xml:space="preserve">적당한 전력 차이 → 양팀 모두 신중하게 플레이</t>
  </si>
  <si>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언더 배당</t>
    </r>
  </si>
  <si>
    <r>
      <rPr>
        <sz val="10"/>
        <color rgb="FF000000"/>
        <rFont val="Arial"/>
        <family val="0"/>
        <charset val="1"/>
      </rPr>
      <t xml:space="preserve">1.80 </t>
    </r>
    <r>
      <rPr>
        <sz val="10"/>
        <color rgb="FF000000"/>
        <rFont val="Noto Sans CJK SC"/>
        <family val="2"/>
      </rPr>
      <t xml:space="preserve">이상</t>
    </r>
  </si>
  <si>
    <t xml:space="preserve">퍼블릭 오버 쏠림 반영된 구간</t>
  </si>
  <si>
    <t xml:space="preserve">강팀 배당 1.39 이하</t>
  </si>
  <si>
    <t xml:space="preserve">패스</t>
  </si>
  <si>
    <t xml:space="preserve">압도적 강팀 → 대량득점 가능</t>
  </si>
  <si>
    <t xml:space="preserve">강팀 배당 1.80 이상</t>
  </si>
  <si>
    <t xml:space="preserve">전력 차이 줄어듦 → 약팀도 득점 가능</t>
  </si>
  <si>
    <t xml:space="preserve">언더 배당 1.79 이하</t>
  </si>
  <si>
    <t xml:space="preserve">마진만 남는 구간</t>
  </si>
  <si>
    <t xml:space="preserve">  대상 리그: EPL · 라리가 · 분데스리가 · 세리에A · 리그앙 · UCL  |  마진 5~7% 빅리그만</t>
  </si>
  <si>
    <t xml:space="preserve">  💡 핵심 논리: 1.40~1.79 = 적당한 전력 차이 → 강팀은 방심 금지로 안전하게 닫음 → 약팀은 역습 공격 금지로 수비적 버팀 → 3골 이상 나올 이유 없음</t>
  </si>
  <si>
    <r>
      <rPr>
        <b val="true"/>
        <sz val="11"/>
        <color rgb="FFFFFFFF"/>
        <rFont val="Noto Sans CJK SC"/>
        <family val="2"/>
      </rPr>
      <t xml:space="preserve">■  농구 전략 — 플핸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스프레드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</si>
  <si>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  퍼블릭이 강팀 마핸</t>
    </r>
    <r>
      <rPr>
        <i val="true"/>
        <sz val="10"/>
        <color rgb="FF555555"/>
        <rFont val="Arial"/>
        <family val="0"/>
        <charset val="1"/>
      </rPr>
      <t xml:space="preserve">(-</t>
    </r>
    <r>
      <rPr>
        <i val="true"/>
        <sz val="10"/>
        <color rgb="FF555555"/>
        <rFont val="Noto Sans CJK SC"/>
        <family val="2"/>
      </rPr>
      <t xml:space="preserve">스프레드</t>
    </r>
    <r>
      <rPr>
        <i val="true"/>
        <sz val="10"/>
        <color rgb="FF555555"/>
        <rFont val="Arial"/>
        <family val="0"/>
        <charset val="1"/>
      </rPr>
      <t xml:space="preserve">)</t>
    </r>
    <r>
      <rPr>
        <i val="true"/>
        <sz val="10"/>
        <color rgb="FF555555"/>
        <rFont val="Noto Sans CJK SC"/>
        <family val="2"/>
      </rPr>
      <t xml:space="preserve">에 쏠림 → 플핸</t>
    </r>
    <r>
      <rPr>
        <i val="true"/>
        <sz val="10"/>
        <color rgb="FF555555"/>
        <rFont val="Arial"/>
        <family val="0"/>
        <charset val="1"/>
      </rPr>
      <t xml:space="preserve">(+</t>
    </r>
    <r>
      <rPr>
        <i val="true"/>
        <sz val="10"/>
        <color rgb="FF555555"/>
        <rFont val="Noto Sans CJK SC"/>
        <family val="2"/>
      </rPr>
      <t xml:space="preserve">스프레드</t>
    </r>
    <r>
      <rPr>
        <i val="true"/>
        <sz val="10"/>
        <color rgb="FF555555"/>
        <rFont val="Arial"/>
        <family val="0"/>
        <charset val="1"/>
      </rPr>
      <t xml:space="preserve">) </t>
    </r>
    <r>
      <rPr>
        <i val="true"/>
        <sz val="10"/>
        <color rgb="FF555555"/>
        <rFont val="Noto Sans CJK SC"/>
        <family val="2"/>
      </rPr>
      <t xml:space="preserve">배당 부풀림 → 플핸이 구조적 엣지</t>
    </r>
  </si>
  <si>
    <t xml:space="preserve">스프레드 구간</t>
  </si>
  <si>
    <t xml:space="preserve">배당 조건</t>
  </si>
  <si>
    <t xml:space="preserve">운영</t>
  </si>
  <si>
    <t xml:space="preserve">+6.5 ~ +9.5</t>
  </si>
  <si>
    <r>
      <rPr>
        <sz val="10"/>
        <color rgb="FF000000"/>
        <rFont val="Arial"/>
        <family val="0"/>
        <charset val="1"/>
      </rPr>
      <t xml:space="preserve">1.90 </t>
    </r>
    <r>
      <rPr>
        <sz val="10"/>
        <color rgb="FF000000"/>
        <rFont val="Noto Sans CJK SC"/>
        <family val="2"/>
      </rPr>
      <t xml:space="preserve">이상</t>
    </r>
  </si>
  <si>
    <t xml:space="preserve">+10.5 ~ +12.5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</si>
  <si>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순위</t>
    </r>
  </si>
  <si>
    <t xml:space="preserve">+5.5 / +13.5 ~ +14.5</t>
  </si>
  <si>
    <t xml:space="preserve">소액 테스트</t>
  </si>
  <si>
    <t xml:space="preserve">■  농구 전략 — 언더</t>
  </si>
  <si>
    <r>
      <rPr>
        <i val="true"/>
        <sz val="10"/>
        <color rgb="FF555555"/>
        <rFont val="Noto Sans CJK SC"/>
        <family val="2"/>
      </rPr>
      <t xml:space="preserve">  강팀이 리드 후 페이스 낮춤 → 저득점 패턴 → 퍼블릭 오버 쏠림 역이용 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홈</t>
    </r>
    <r>
      <rPr>
        <i val="true"/>
        <sz val="10"/>
        <color rgb="FF555555"/>
        <rFont val="Arial"/>
        <family val="0"/>
        <charset val="1"/>
      </rPr>
      <t xml:space="preserve">/</t>
    </r>
    <r>
      <rPr>
        <i val="true"/>
        <sz val="10"/>
        <color rgb="FF555555"/>
        <rFont val="Noto Sans CJK SC"/>
        <family val="2"/>
      </rPr>
      <t xml:space="preserve">원정 무관</t>
    </r>
    <r>
      <rPr>
        <i val="true"/>
        <sz val="10"/>
        <color rgb="FF555555"/>
        <rFont val="Arial"/>
        <family val="0"/>
        <charset val="1"/>
      </rPr>
      <t xml:space="preserve">)</t>
    </r>
  </si>
  <si>
    <t xml:space="preserve">  정배 배당</t>
  </si>
  <si>
    <t xml:space="preserve">1.20 ~ 1.59</t>
  </si>
  <si>
    <r>
      <rPr>
        <b val="true"/>
        <sz val="10"/>
        <color rgb="FFFFFFFF"/>
        <rFont val="Noto Sans CJK SC"/>
        <family val="2"/>
      </rPr>
      <t xml:space="preserve">  언더 배당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순위</t>
    </r>
  </si>
  <si>
    <r>
      <rPr>
        <sz val="10"/>
        <color rgb="FF000000"/>
        <rFont val="Arial"/>
        <family val="0"/>
        <charset val="1"/>
      </rPr>
      <t xml:space="preserve">2.00 </t>
    </r>
    <r>
      <rPr>
        <sz val="10"/>
        <color rgb="FF000000"/>
        <rFont val="Noto Sans CJK SC"/>
        <family val="2"/>
      </rPr>
      <t xml:space="preserve">이상</t>
    </r>
  </si>
  <si>
    <r>
      <rPr>
        <b val="true"/>
        <sz val="10"/>
        <color rgb="FFFFFFFF"/>
        <rFont val="Noto Sans CJK SC"/>
        <family val="2"/>
      </rPr>
      <t xml:space="preserve">  언더 배당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순위</t>
    </r>
  </si>
  <si>
    <r>
      <rPr>
        <b val="true"/>
        <sz val="10"/>
        <color rgb="FFFFFFFF"/>
        <rFont val="Arial"/>
        <family val="0"/>
        <charset val="1"/>
      </rPr>
      <t xml:space="preserve">  1.19 </t>
    </r>
    <r>
      <rPr>
        <b val="true"/>
        <sz val="10"/>
        <color rgb="FFFFFFFF"/>
        <rFont val="Noto Sans CJK SC"/>
        <family val="2"/>
      </rPr>
      <t xml:space="preserve">이하 정배</t>
    </r>
  </si>
  <si>
    <r>
      <rPr>
        <b val="true"/>
        <sz val="10"/>
        <color rgb="FFA32D2D"/>
        <rFont val="Noto Sans CJK SC"/>
        <family val="2"/>
      </rPr>
      <t xml:space="preserve">패스 </t>
    </r>
    <r>
      <rPr>
        <b val="true"/>
        <sz val="10"/>
        <color rgb="FFA32D2D"/>
        <rFont val="Arial"/>
        <family val="0"/>
        <charset val="1"/>
      </rPr>
      <t xml:space="preserve">(</t>
    </r>
    <r>
      <rPr>
        <b val="true"/>
        <sz val="10"/>
        <color rgb="FFA32D2D"/>
        <rFont val="Noto Sans CJK SC"/>
        <family val="2"/>
      </rPr>
      <t xml:space="preserve">압도적 강팀 → 대량득점</t>
    </r>
    <r>
      <rPr>
        <b val="true"/>
        <sz val="10"/>
        <color rgb="FFA32D2D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</si>
  <si>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  1.60 </t>
    </r>
    <r>
      <rPr>
        <b val="true"/>
        <sz val="10"/>
        <color rgb="FFFFFFFF"/>
        <rFont val="Noto Sans CJK SC"/>
        <family val="2"/>
      </rPr>
      <t xml:space="preserve">이상 정배</t>
    </r>
  </si>
  <si>
    <r>
      <rPr>
        <b val="true"/>
        <sz val="10"/>
        <color rgb="FFA32D2D"/>
        <rFont val="Noto Sans CJK SC"/>
        <family val="2"/>
      </rPr>
      <t xml:space="preserve">패스 </t>
    </r>
    <r>
      <rPr>
        <b val="true"/>
        <sz val="10"/>
        <color rgb="FFA32D2D"/>
        <rFont val="Arial"/>
        <family val="0"/>
        <charset val="1"/>
      </rPr>
      <t xml:space="preserve">(</t>
    </r>
    <r>
      <rPr>
        <b val="true"/>
        <sz val="10"/>
        <color rgb="FFA32D2D"/>
        <rFont val="Noto Sans CJK SC"/>
        <family val="2"/>
      </rPr>
      <t xml:space="preserve">전력 차이 줄어듦</t>
    </r>
    <r>
      <rPr>
        <b val="true"/>
        <sz val="10"/>
        <color rgb="FFA32D2D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</si>
  <si>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  언더 배당 </t>
    </r>
    <r>
      <rPr>
        <b val="true"/>
        <sz val="10"/>
        <color rgb="FFFFFFFF"/>
        <rFont val="Arial"/>
        <family val="0"/>
        <charset val="1"/>
      </rPr>
      <t xml:space="preserve">1.89 </t>
    </r>
    <r>
      <rPr>
        <b val="true"/>
        <sz val="10"/>
        <color rgb="FFFFFFFF"/>
        <rFont val="Noto Sans CJK SC"/>
        <family val="2"/>
      </rPr>
      <t xml:space="preserve">이하</t>
    </r>
  </si>
  <si>
    <r>
      <rPr>
        <b val="true"/>
        <sz val="10"/>
        <color rgb="FFFFFFFF"/>
        <rFont val="Noto Sans CJK SC"/>
        <family val="2"/>
      </rPr>
      <t xml:space="preserve">  대상 리그</t>
    </r>
    <r>
      <rPr>
        <b val="true"/>
        <sz val="10"/>
        <color rgb="FFFFFFFF"/>
        <rFont val="Arial"/>
        <family val="0"/>
        <charset val="1"/>
      </rPr>
      <t xml:space="preserve">: NBA · </t>
    </r>
    <r>
      <rPr>
        <b val="true"/>
        <sz val="10"/>
        <color rgb="FFFFFFFF"/>
        <rFont val="Noto Sans CJK SC"/>
        <family val="2"/>
      </rPr>
      <t xml:space="preserve">유로리그 </t>
    </r>
    <r>
      <rPr>
        <b val="true"/>
        <sz val="10"/>
        <color rgb="FFFFFFFF"/>
        <rFont val="Arial"/>
        <family val="0"/>
        <charset val="1"/>
      </rPr>
      <t xml:space="preserve">· KBL · B</t>
    </r>
    <r>
      <rPr>
        <b val="true"/>
        <sz val="10"/>
        <color rgb="FFFFFFFF"/>
        <rFont val="Noto Sans CJK SC"/>
        <family val="2"/>
      </rPr>
      <t xml:space="preserve">리그 </t>
    </r>
    <r>
      <rPr>
        <b val="true"/>
        <sz val="10"/>
        <color rgb="FFFFFFFF"/>
        <rFont val="Arial"/>
        <family val="0"/>
        <charset val="1"/>
      </rPr>
      <t xml:space="preserve">· CBA  |  </t>
    </r>
    <r>
      <rPr>
        <b val="true"/>
        <sz val="10"/>
        <color rgb="FFFFFFFF"/>
        <rFont val="Noto Sans CJK SC"/>
        <family val="2"/>
      </rPr>
      <t xml:space="preserve">마진 </t>
    </r>
    <r>
      <rPr>
        <b val="true"/>
        <sz val="10"/>
        <color rgb="FFFFFFFF"/>
        <rFont val="Arial"/>
        <family val="0"/>
        <charset val="1"/>
      </rPr>
      <t xml:space="preserve">7% </t>
    </r>
    <r>
      <rPr>
        <b val="true"/>
        <sz val="10"/>
        <color rgb="FFFFFFFF"/>
        <rFont val="Noto Sans CJK SC"/>
        <family val="2"/>
      </rPr>
      <t xml:space="preserve">이하만</t>
    </r>
  </si>
  <si>
    <t xml:space="preserve">구간별 ROI 트래커  —  0.1 단위 분리 기록</t>
  </si>
  <si>
    <t xml:space="preserve">배당 구간</t>
  </si>
  <si>
    <t xml:space="preserve">베팅 수</t>
  </si>
  <si>
    <t xml:space="preserve">승</t>
  </si>
  <si>
    <t xml:space="preserve">패</t>
  </si>
  <si>
    <t xml:space="preserve">승률 %</t>
  </si>
  <si>
    <t xml:space="preserve">총 투자</t>
  </si>
  <si>
    <t xml:space="preserve">총 수익</t>
  </si>
  <si>
    <t xml:space="preserve">ROI %</t>
  </si>
  <si>
    <t xml:space="preserve">2.50 ~ 2.59</t>
  </si>
  <si>
    <t xml:space="preserve">2.60 ~ 2.69</t>
  </si>
  <si>
    <t xml:space="preserve">2.70 ~ 2.79</t>
  </si>
  <si>
    <t xml:space="preserve">합계</t>
  </si>
  <si>
    <t xml:space="preserve">2.80 ~ 2.89</t>
  </si>
  <si>
    <t xml:space="preserve">2.90 ~ 2.99</t>
  </si>
  <si>
    <r>
      <rPr>
        <sz val="9"/>
        <color rgb="FF000000"/>
        <rFont val="Arial"/>
        <family val="0"/>
        <charset val="1"/>
      </rPr>
      <t xml:space="preserve">3.00 </t>
    </r>
    <r>
      <rPr>
        <sz val="9"/>
        <color rgb="FF000000"/>
        <rFont val="Noto Sans CJK SC"/>
        <family val="2"/>
      </rPr>
      <t xml:space="preserve">이상</t>
    </r>
  </si>
  <si>
    <t xml:space="preserve">베팅 기록 일지  —  건별 입력</t>
  </si>
  <si>
    <t xml:space="preserve">날짜</t>
  </si>
  <si>
    <t xml:space="preserve">홈팀</t>
  </si>
  <si>
    <t xml:space="preserve">원정팀</t>
  </si>
  <si>
    <t xml:space="preserve">역배팀</t>
  </si>
  <si>
    <t xml:space="preserve">배당</t>
  </si>
  <si>
    <t xml:space="preserve">베팅금액</t>
  </si>
  <si>
    <t xml:space="preserve">결과
(승/패)</t>
  </si>
  <si>
    <t xml:space="preserve">수익금</t>
  </si>
  <si>
    <t xml:space="preserve">누적 손익</t>
  </si>
  <si>
    <t xml:space="preserve">메모</t>
  </si>
  <si>
    <t xml:space="preserve">언더 전략 ROI 트래커  —  리그별 × 구간별 분리 기록</t>
  </si>
  <si>
    <t xml:space="preserve">승(언더적중)</t>
  </si>
  <si>
    <t xml:space="preserve">축구 2.5 언더 ROI 트래커  —  강팀 배당 구간별 (홈/원정 무관)</t>
  </si>
  <si>
    <t xml:space="preserve">  강팀 배당 1.40~1.79 + 언더 배당 1.80 이상 조건 충족 시 진입. 홈/원정 무관.</t>
  </si>
  <si>
    <t xml:space="preserve">  강팀 배당 1.40 ~ 1.49</t>
  </si>
  <si>
    <t xml:space="preserve">강팀 배당 구간</t>
  </si>
  <si>
    <t xml:space="preserve">언더 배당 티어</t>
  </si>
  <si>
    <t xml:space="preserve">1.40 ~ 1.49</t>
  </si>
  <si>
    <t xml:space="preserve">S  1.80 ~ 2.09</t>
  </si>
  <si>
    <t xml:space="preserve">A  2.10 ~ 2.29</t>
  </si>
  <si>
    <t xml:space="preserve">  강팀 배당 1.50 ~ 1.59</t>
  </si>
  <si>
    <t xml:space="preserve">1.50 ~ 1.59</t>
  </si>
  <si>
    <t xml:space="preserve">  강팀 배당 1.60 ~ 1.69</t>
  </si>
  <si>
    <t xml:space="preserve">1.60 ~ 1.69</t>
  </si>
  <si>
    <t xml:space="preserve">  강팀 배당 1.70 ~ 1.79</t>
  </si>
  <si>
    <t xml:space="preserve">1.70 ~ 1.79</t>
  </si>
  <si>
    <r>
      <rPr>
        <b val="true"/>
        <sz val="15"/>
        <color rgb="FFFFFFFF"/>
        <rFont val="Noto Sans CJK SC"/>
        <family val="2"/>
      </rPr>
      <t xml:space="preserve">농구 플핸 </t>
    </r>
    <r>
      <rPr>
        <b val="true"/>
        <sz val="15"/>
        <color rgb="FFFFFFFF"/>
        <rFont val="Arial"/>
        <family val="0"/>
        <charset val="1"/>
      </rPr>
      <t xml:space="preserve">ROI </t>
    </r>
    <r>
      <rPr>
        <b val="true"/>
        <sz val="15"/>
        <color rgb="FFFFFFFF"/>
        <rFont val="Noto Sans CJK SC"/>
        <family val="2"/>
      </rPr>
      <t xml:space="preserve">트래커  —  스프레드 티어별 </t>
    </r>
    <r>
      <rPr>
        <b val="true"/>
        <sz val="15"/>
        <color rgb="FFFFFFFF"/>
        <rFont val="Arial"/>
        <family val="0"/>
        <charset val="1"/>
      </rPr>
      <t xml:space="preserve">(</t>
    </r>
    <r>
      <rPr>
        <b val="true"/>
        <sz val="15"/>
        <color rgb="FFFFFFFF"/>
        <rFont val="Noto Sans CJK SC"/>
        <family val="2"/>
      </rPr>
      <t xml:space="preserve">전세계 리그</t>
    </r>
    <r>
      <rPr>
        <b val="true"/>
        <sz val="15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</si>
  <si>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승률 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</si>
  <si>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15"/>
        <color rgb="FFFFFFFF"/>
        <rFont val="Noto Sans CJK SC"/>
        <family val="2"/>
      </rPr>
      <t xml:space="preserve">농구 언더 </t>
    </r>
    <r>
      <rPr>
        <b val="true"/>
        <sz val="15"/>
        <color rgb="FFFFFFFF"/>
        <rFont val="Arial"/>
        <family val="0"/>
        <charset val="1"/>
      </rPr>
      <t xml:space="preserve">ROI </t>
    </r>
    <r>
      <rPr>
        <b val="true"/>
        <sz val="15"/>
        <color rgb="FFFFFFFF"/>
        <rFont val="Noto Sans CJK SC"/>
        <family val="2"/>
      </rPr>
      <t xml:space="preserve">트래커  —  정배 배당 구간별</t>
    </r>
  </si>
  <si>
    <t xml:space="preserve">정배 배당</t>
  </si>
  <si>
    <r>
      <rPr>
        <b val="true"/>
        <sz val="9"/>
        <color rgb="FFFFFFFF"/>
        <rFont val="Noto Sans CJK SC"/>
        <family val="2"/>
      </rPr>
      <t xml:space="preserve">승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언더적중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</si>
  <si>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1.20 ~ 1.39</t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</si>
  <si>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순위 </t>
    </r>
    <r>
      <rPr>
        <b val="true"/>
        <sz val="9"/>
        <color rgb="FFFFFFFF"/>
        <rFont val="Arial"/>
        <family val="0"/>
        <charset val="1"/>
      </rPr>
      <t xml:space="preserve">(2.00+)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</si>
  <si>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순위 </t>
    </r>
    <r>
      <rPr>
        <b val="true"/>
        <sz val="9"/>
        <color rgb="FFFFFFFF"/>
        <rFont val="Arial"/>
        <family val="0"/>
        <charset val="1"/>
      </rPr>
      <t xml:space="preserve">(1.90~1.99)</t>
    </r>
  </si>
  <si>
    <t xml:space="preserve">1.40 ~ 1.59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</si>
</sst>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%"/>
    <numFmt numFmtId="167" formatCode="#,##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8"/>
      <color rgb="FFFFFFFF"/>
      <name val="Noto Sans CJK SC"/>
      <family val="2"/>
    </font>
    <font>
      <sz val="8"/>
      <color rgb="FFFFFFFF"/>
      <name val="Arial"/>
      <family val="0"/>
      <charset val="1"/>
    </font>
    <font>
      <b val="true"/>
      <sz val="8"/>
      <color rgb="FFFFFFFF"/>
      <name val="Noto Sans CJK SC"/>
      <family val="2"/>
    </font>
    <font>
      <b val="true"/>
      <sz val="8"/>
      <color rgb="FFFFFFFF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18"/>
      <color rgb="FFFFFFFF"/>
      <name val="Noto Sans CJK SC"/>
      <family val="2"/>
      <charset val="1"/>
    </font>
    <font>
      <i val="true"/>
      <sz val="10"/>
      <color rgb="FF888888"/>
      <name val="Arial"/>
      <family val="0"/>
      <charset val="1"/>
    </font>
    <font>
      <i val="true"/>
      <sz val="10"/>
      <color rgb="FF888888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C0392B"/>
      <name val="Noto Sans CJK SC"/>
      <family val="2"/>
      <charset val="1"/>
    </font>
    <font>
      <i val="true"/>
      <sz val="10"/>
      <color rgb="FF555555"/>
      <name val="Noto Sans CJK SC"/>
      <family val="2"/>
      <charset val="1"/>
    </font>
    <font>
      <b val="true"/>
      <sz val="10"/>
      <color rgb="FFA32D2D"/>
      <name val="Noto Sans CJK SC"/>
      <family val="2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Noto Sans CJK SC"/>
      <family val="2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A32D2D"/>
      <name val="Noto Sans CJK SC"/>
      <family val="2"/>
    </font>
    <font>
      <b val="true"/>
      <sz val="10"/>
      <color rgb="FFA32D2D"/>
      <name val="Arial"/>
      <family val="0"/>
      <charset val="1"/>
    </font>
    <font>
      <b val="true"/>
      <sz val="15"/>
      <color rgb="FFFFFFFF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9"/>
      <color rgb="FF888888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Noto Sans CJK SC"/>
      <family val="2"/>
      <charset val="1"/>
    </font>
    <font>
      <b val="true"/>
      <sz val="9"/>
      <name val="Arial"/>
      <family val="0"/>
      <charset val="1"/>
    </font>
    <font>
      <sz val="9"/>
      <color rgb="FF000000"/>
      <name val="Noto Sans CJK SC"/>
      <family val="2"/>
    </font>
    <font>
      <sz val="9"/>
      <color rgb="FFFFFFFF"/>
      <name val="Arial"/>
      <family val="0"/>
      <charset val="1"/>
    </font>
    <font>
      <b val="true"/>
      <sz val="15"/>
      <color rgb="FFFFFFFF"/>
      <name val="Noto Sans CJK SC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Noto Sans CJK SC"/>
      <family val="2"/>
    </font>
  </fonts>
  <fills count="21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2C3E50"/>
        <bgColor rgb="FF154360"/>
      </patternFill>
    </fill>
    <fill>
      <patternFill patternType="solid">
        <fgColor rgb="FF922B21"/>
        <bgColor rgb="FFA32D2D"/>
      </patternFill>
    </fill>
    <fill>
      <patternFill patternType="solid">
        <fgColor rgb="FF1B4F72"/>
        <bgColor rgb="FF1A5276"/>
      </patternFill>
    </fill>
    <fill>
      <patternFill patternType="solid">
        <fgColor rgb="FF1D6A4A"/>
        <bgColor rgb="FF1E8449"/>
      </patternFill>
    </fill>
    <fill>
      <patternFill patternType="solid">
        <fgColor rgb="FF7B241C"/>
        <bgColor rgb="FF922B21"/>
      </patternFill>
    </fill>
    <fill>
      <patternFill patternType="solid">
        <fgColor rgb="FF1A5276"/>
        <bgColor rgb="FF1B4F72"/>
      </patternFill>
    </fill>
    <fill>
      <patternFill patternType="solid">
        <fgColor rgb="FF1E8449"/>
        <bgColor rgb="FF1D6A4A"/>
      </patternFill>
    </fill>
    <fill>
      <patternFill patternType="solid">
        <fgColor rgb="FF784212"/>
        <bgColor rgb="FF922B21"/>
      </patternFill>
    </fill>
    <fill>
      <patternFill patternType="solid">
        <fgColor rgb="FF154360"/>
        <bgColor rgb="FF1B4F72"/>
      </patternFill>
    </fill>
    <fill>
      <patternFill patternType="solid">
        <fgColor rgb="FFEBF5FB"/>
        <bgColor rgb="FFF2F3F4"/>
      </patternFill>
    </fill>
    <fill>
      <patternFill patternType="solid">
        <fgColor rgb="FF4A235A"/>
        <bgColor rgb="FF2C3E50"/>
      </patternFill>
    </fill>
    <fill>
      <patternFill patternType="solid">
        <fgColor rgb="FFF8F9FA"/>
        <bgColor rgb="FFF2F3F4"/>
      </patternFill>
    </fill>
    <fill>
      <patternFill patternType="solid">
        <fgColor rgb="FFF2F3F4"/>
        <bgColor rgb="FFEBF5FB"/>
      </patternFill>
    </fill>
    <fill>
      <patternFill patternType="solid">
        <fgColor rgb="FFFADBD8"/>
        <bgColor rgb="FFDDDDDD"/>
      </patternFill>
    </fill>
    <fill>
      <patternFill patternType="solid">
        <fgColor rgb="FFF4ECF7"/>
        <bgColor rgb="FFF2F3F4"/>
      </patternFill>
    </fill>
    <fill>
      <patternFill patternType="solid">
        <fgColor rgb="FF17408B"/>
        <bgColor rgb="FF1B4F72"/>
      </patternFill>
    </fill>
    <fill>
      <patternFill patternType="solid">
        <fgColor rgb="FFD5D8DC"/>
        <bgColor rgb="FFDDDDDD"/>
      </patternFill>
    </fill>
    <fill>
      <patternFill patternType="solid">
        <fgColor rgb="FFFFFFFF"/>
        <bgColor rgb="FFF8F9F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9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41C"/>
      <rgbColor rgb="FF008000"/>
      <rgbColor rgb="FF000080"/>
      <rgbColor rgb="FF784212"/>
      <rgbColor rgb="FF800080"/>
      <rgbColor rgb="FF1D6A4A"/>
      <rgbColor rgb="FFCCCCCC"/>
      <rgbColor rgb="FF888888"/>
      <rgbColor rgb="FF9999FF"/>
      <rgbColor rgb="FFA32D2D"/>
      <rgbColor rgb="FFF8F9FA"/>
      <rgbColor rgb="FFEBF5FB"/>
      <rgbColor rgb="FF4A235A"/>
      <rgbColor rgb="FFFF8080"/>
      <rgbColor rgb="FF1A5276"/>
      <rgbColor rgb="FFD5D8DC"/>
      <rgbColor rgb="FF000080"/>
      <rgbColor rgb="FFFF00FF"/>
      <rgbColor rgb="FFFFFF00"/>
      <rgbColor rgb="FF00FFFF"/>
      <rgbColor rgb="FF800080"/>
      <rgbColor rgb="FF800000"/>
      <rgbColor rgb="FF1B4F72"/>
      <rgbColor rgb="FF0000FF"/>
      <rgbColor rgb="FF00CCFF"/>
      <rgbColor rgb="FFF2F3F4"/>
      <rgbColor rgb="FFDDDDDD"/>
      <rgbColor rgb="FFF4ECF7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54360"/>
      <rgbColor rgb="FF1E8449"/>
      <rgbColor rgb="FF003300"/>
      <rgbColor rgb="FF1A1A2E"/>
      <rgbColor rgb="FF922B21"/>
      <rgbColor rgb="FFC0392B"/>
      <rgbColor rgb="FF17408B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14"/>
    <col collapsed="false" customWidth="true" hidden="false" outlineLevel="0" max="3" min="3" style="0" width="5"/>
    <col collapsed="false" customWidth="true" hidden="false" outlineLevel="0" max="4" min="4" style="0" width="14"/>
    <col collapsed="false" customWidth="true" hidden="false" outlineLevel="0" max="5" min="5" style="0" width="5"/>
    <col collapsed="false" customWidth="true" hidden="false" outlineLevel="0" max="6" min="6" style="0" width="14"/>
    <col collapsed="false" customWidth="true" hidden="false" outlineLevel="0" max="7" min="7" style="0" width="5"/>
    <col collapsed="false" customWidth="true" hidden="false" outlineLevel="0" max="8" min="8" style="0" width="14"/>
    <col collapsed="false" customWidth="true" hidden="false" outlineLevel="0" max="9" min="9" style="0" width="5"/>
    <col collapsed="false" customWidth="true" hidden="false" outlineLevel="0" max="10" min="10" style="0" width="1"/>
  </cols>
  <sheetData>
    <row r="1" customFormat="false" ht="7.5" hidden="false" customHeight="true" outlineLevel="0" collapsed="false"/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.75" hidden="false" customHeight="true" outlineLevel="0" collapsed="false">
      <c r="B3" s="1"/>
      <c r="C3" s="1"/>
      <c r="D3" s="1"/>
      <c r="E3" s="1"/>
      <c r="F3" s="1"/>
      <c r="G3" s="1"/>
      <c r="H3" s="1"/>
      <c r="I3" s="1"/>
    </row>
    <row r="4" customFormat="false" ht="7.5" hidden="false" customHeight="true" outlineLevel="0" collapsed="false"/>
    <row r="5" customFormat="false" ht="21.75" hidden="false" customHeight="true" outlineLevel="0" collapsed="false">
      <c r="B5" s="2" t="s">
        <v>1</v>
      </c>
      <c r="C5" s="2"/>
      <c r="D5" s="2"/>
      <c r="E5" s="2"/>
      <c r="F5" s="2"/>
      <c r="G5" s="2"/>
      <c r="H5" s="2"/>
      <c r="I5" s="2"/>
    </row>
    <row r="6" customFormat="false" ht="19.5" hidden="false" customHeight="true" outlineLevel="0" collapsed="false">
      <c r="B6" s="3" t="s">
        <v>2</v>
      </c>
      <c r="C6" s="3"/>
      <c r="D6" s="3"/>
      <c r="E6" s="3"/>
      <c r="F6" s="3"/>
      <c r="G6" s="3"/>
      <c r="H6" s="3"/>
      <c r="I6" s="3"/>
    </row>
    <row r="7" customFormat="false" ht="15.75" hidden="false" customHeight="true" outlineLevel="0" collapsed="false">
      <c r="B7" s="4" t="s">
        <v>3</v>
      </c>
      <c r="C7" s="4"/>
      <c r="E7" s="3" t="s">
        <v>4</v>
      </c>
      <c r="F7" s="3"/>
      <c r="G7" s="3"/>
      <c r="H7" s="3"/>
      <c r="I7" s="3"/>
    </row>
    <row r="8" customFormat="false" ht="19.5" hidden="false" customHeight="true" outlineLevel="0" collapsed="false">
      <c r="D8" s="5" t="s">
        <v>5</v>
      </c>
      <c r="E8" s="5"/>
      <c r="F8" s="6" t="s">
        <v>6</v>
      </c>
      <c r="G8" s="6"/>
      <c r="H8" s="7" t="s">
        <v>7</v>
      </c>
      <c r="I8" s="7"/>
    </row>
    <row r="9" customFormat="false" ht="31.5" hidden="false" customHeight="true" outlineLevel="0" collapsed="false">
      <c r="D9" s="8" t="s">
        <v>8</v>
      </c>
      <c r="E9" s="8"/>
      <c r="F9" s="9" t="s">
        <v>9</v>
      </c>
      <c r="G9" s="9"/>
      <c r="H9" s="10" t="s">
        <v>10</v>
      </c>
      <c r="I9" s="10"/>
    </row>
    <row r="10" customFormat="false" ht="6" hidden="false" customHeight="true" outlineLevel="0" collapsed="false"/>
    <row r="11" customFormat="false" ht="21.75" hidden="false" customHeight="true" outlineLevel="0" collapsed="false">
      <c r="B11" s="2" t="s">
        <v>11</v>
      </c>
      <c r="C11" s="2"/>
      <c r="D11" s="2"/>
      <c r="E11" s="2"/>
      <c r="F11" s="2"/>
      <c r="G11" s="2"/>
      <c r="H11" s="2"/>
      <c r="I11" s="2"/>
    </row>
    <row r="12" customFormat="false" ht="19.5" hidden="false" customHeight="true" outlineLevel="0" collapsed="false">
      <c r="B12" s="3" t="s">
        <v>12</v>
      </c>
      <c r="C12" s="3"/>
      <c r="D12" s="3"/>
      <c r="E12" s="3"/>
      <c r="F12" s="3"/>
      <c r="G12" s="3"/>
      <c r="H12" s="3"/>
      <c r="I12" s="3"/>
    </row>
    <row r="13" customFormat="false" ht="27.75" hidden="false" customHeight="true" outlineLevel="0" collapsed="false">
      <c r="B13" s="11" t="s">
        <v>13</v>
      </c>
      <c r="C13" s="11"/>
      <c r="D13" s="11"/>
      <c r="E13" s="12" t="s">
        <v>14</v>
      </c>
      <c r="F13" s="12"/>
      <c r="G13" s="12"/>
      <c r="H13" s="13" t="s">
        <v>15</v>
      </c>
      <c r="I13" s="13"/>
    </row>
    <row r="14" customFormat="false" ht="6" hidden="false" customHeight="true" outlineLevel="0" collapsed="false"/>
    <row r="15" customFormat="false" ht="21.75" hidden="false" customHeight="true" outlineLevel="0" collapsed="false">
      <c r="B15" s="2" t="s">
        <v>16</v>
      </c>
      <c r="C15" s="2"/>
      <c r="D15" s="2"/>
      <c r="E15" s="2"/>
      <c r="F15" s="2"/>
      <c r="G15" s="2"/>
      <c r="H15" s="2"/>
      <c r="I15" s="2"/>
    </row>
    <row r="16" customFormat="false" ht="19.5" hidden="false" customHeight="true" outlineLevel="0" collapsed="false">
      <c r="B16" s="3" t="s">
        <v>17</v>
      </c>
      <c r="C16" s="3"/>
      <c r="D16" s="3"/>
      <c r="E16" s="3"/>
      <c r="F16" s="3"/>
      <c r="G16" s="3"/>
      <c r="H16" s="3"/>
      <c r="I16" s="3"/>
    </row>
    <row r="17" customFormat="false" ht="15.75" hidden="false" customHeight="true" outlineLevel="0" collapsed="false">
      <c r="B17" s="14" t="s">
        <v>18</v>
      </c>
      <c r="C17" s="14"/>
      <c r="D17" s="14"/>
      <c r="F17" s="15" t="s">
        <v>19</v>
      </c>
      <c r="G17" s="15"/>
      <c r="H17" s="15"/>
      <c r="I17" s="15"/>
    </row>
    <row r="18" customFormat="false" ht="27.75" hidden="false" customHeight="true" outlineLevel="0" collapsed="false">
      <c r="F18" s="11" t="s">
        <v>20</v>
      </c>
      <c r="G18" s="11"/>
      <c r="H18" s="12" t="s">
        <v>21</v>
      </c>
      <c r="I18" s="12"/>
    </row>
    <row r="19" customFormat="false" ht="6" hidden="false" customHeight="true" outlineLevel="0" collapsed="false"/>
    <row r="20" customFormat="false" ht="21.75" hidden="false" customHeight="true" outlineLevel="0" collapsed="false">
      <c r="B20" s="2" t="s">
        <v>22</v>
      </c>
      <c r="C20" s="2"/>
      <c r="D20" s="2"/>
      <c r="E20" s="2"/>
      <c r="F20" s="2"/>
      <c r="G20" s="2"/>
      <c r="H20" s="2"/>
      <c r="I20" s="2"/>
    </row>
    <row r="21" customFormat="false" ht="19.5" hidden="false" customHeight="true" outlineLevel="0" collapsed="false">
      <c r="B21" s="3" t="s">
        <v>23</v>
      </c>
      <c r="C21" s="3"/>
      <c r="D21" s="3"/>
      <c r="E21" s="3"/>
      <c r="F21" s="3"/>
      <c r="G21" s="3"/>
      <c r="H21" s="3"/>
      <c r="I21" s="3"/>
    </row>
    <row r="22" customFormat="false" ht="18" hidden="false" customHeight="true" outlineLevel="0" collapsed="false">
      <c r="B22" s="3" t="s">
        <v>24</v>
      </c>
      <c r="C22" s="3"/>
      <c r="D22" s="3"/>
      <c r="E22" s="3"/>
      <c r="F22" s="3"/>
      <c r="G22" s="3"/>
      <c r="H22" s="3"/>
      <c r="I22" s="3"/>
    </row>
    <row r="23" customFormat="false" ht="27.75" hidden="false" customHeight="true" outlineLevel="0" collapsed="false">
      <c r="B23" s="11" t="s">
        <v>25</v>
      </c>
      <c r="C23" s="11"/>
      <c r="D23" s="11"/>
      <c r="E23" s="12" t="s">
        <v>26</v>
      </c>
      <c r="F23" s="12"/>
      <c r="G23" s="12"/>
      <c r="H23" s="13" t="s">
        <v>27</v>
      </c>
      <c r="I23" s="13"/>
    </row>
    <row r="24" customFormat="false" ht="6" hidden="false" customHeight="true" outlineLevel="0" collapsed="false"/>
    <row r="25" customFormat="false" ht="21.75" hidden="false" customHeight="true" outlineLevel="0" collapsed="false">
      <c r="B25" s="2" t="s">
        <v>28</v>
      </c>
      <c r="C25" s="2"/>
      <c r="D25" s="2"/>
      <c r="E25" s="2"/>
      <c r="F25" s="2"/>
      <c r="G25" s="2"/>
      <c r="H25" s="2"/>
      <c r="I25" s="2"/>
    </row>
    <row r="26" customFormat="false" ht="19.5" hidden="false" customHeight="true" outlineLevel="0" collapsed="false">
      <c r="B26" s="3" t="s">
        <v>29</v>
      </c>
      <c r="C26" s="3"/>
      <c r="D26" s="3"/>
      <c r="E26" s="3"/>
      <c r="F26" s="3"/>
      <c r="G26" s="3"/>
      <c r="H26" s="3"/>
      <c r="I26" s="3"/>
    </row>
    <row r="27" customFormat="false" ht="15.75" hidden="false" customHeight="true" outlineLevel="0" collapsed="false">
      <c r="B27" s="14" t="s">
        <v>3</v>
      </c>
      <c r="C27" s="14"/>
      <c r="E27" s="15" t="s">
        <v>19</v>
      </c>
      <c r="F27" s="15"/>
      <c r="G27" s="15"/>
      <c r="H27" s="15"/>
      <c r="I27" s="15"/>
    </row>
    <row r="28" customFormat="false" ht="27.75" hidden="false" customHeight="true" outlineLevel="0" collapsed="false">
      <c r="E28" s="11" t="s">
        <v>30</v>
      </c>
      <c r="F28" s="11"/>
      <c r="G28" s="11"/>
      <c r="H28" s="12" t="s">
        <v>31</v>
      </c>
      <c r="I28" s="12"/>
    </row>
    <row r="29" customFormat="false" ht="6" hidden="false" customHeight="true" outlineLevel="0" collapsed="false"/>
    <row r="30" customFormat="false" ht="21.75" hidden="false" customHeight="true" outlineLevel="0" collapsed="false">
      <c r="B30" s="2" t="s">
        <v>32</v>
      </c>
      <c r="C30" s="2"/>
      <c r="D30" s="2"/>
      <c r="E30" s="2"/>
      <c r="F30" s="2"/>
      <c r="G30" s="2"/>
      <c r="H30" s="2"/>
      <c r="I30" s="2"/>
    </row>
    <row r="31" customFormat="false" ht="19.5" hidden="false" customHeight="true" outlineLevel="0" collapsed="false">
      <c r="B31" s="16" t="s">
        <v>33</v>
      </c>
      <c r="C31" s="17" t="s">
        <v>34</v>
      </c>
      <c r="D31" s="17"/>
      <c r="E31" s="17"/>
      <c r="F31" s="17"/>
      <c r="G31" s="17"/>
      <c r="H31" s="17"/>
      <c r="I31" s="17"/>
    </row>
    <row r="32" customFormat="false" ht="19.5" hidden="false" customHeight="true" outlineLevel="0" collapsed="false">
      <c r="B32" s="18" t="s">
        <v>35</v>
      </c>
      <c r="C32" s="17" t="s">
        <v>36</v>
      </c>
      <c r="D32" s="17"/>
      <c r="E32" s="17"/>
      <c r="F32" s="17"/>
      <c r="G32" s="17"/>
      <c r="H32" s="17"/>
      <c r="I32" s="17"/>
    </row>
    <row r="33" customFormat="false" ht="19.5" hidden="false" customHeight="true" outlineLevel="0" collapsed="false">
      <c r="B33" s="19" t="s">
        <v>37</v>
      </c>
      <c r="C33" s="17" t="s">
        <v>38</v>
      </c>
      <c r="D33" s="17"/>
      <c r="E33" s="17"/>
      <c r="F33" s="17"/>
      <c r="G33" s="17"/>
      <c r="H33" s="17"/>
      <c r="I33" s="17"/>
    </row>
    <row r="34" customFormat="false" ht="19.5" hidden="false" customHeight="true" outlineLevel="0" collapsed="false">
      <c r="B34" s="20" t="s">
        <v>39</v>
      </c>
      <c r="C34" s="17" t="s">
        <v>40</v>
      </c>
      <c r="D34" s="17"/>
      <c r="E34" s="17"/>
      <c r="F34" s="17"/>
      <c r="G34" s="17"/>
      <c r="H34" s="17"/>
      <c r="I34" s="17"/>
    </row>
    <row r="35" customFormat="false" ht="19.5" hidden="false" customHeight="true" outlineLevel="0" collapsed="false">
      <c r="B35" s="21" t="s">
        <v>41</v>
      </c>
      <c r="C35" s="17" t="s">
        <v>42</v>
      </c>
      <c r="D35" s="17"/>
      <c r="E35" s="17"/>
      <c r="F35" s="17"/>
      <c r="G35" s="17"/>
      <c r="H35" s="17"/>
      <c r="I35" s="17"/>
    </row>
  </sheetData>
  <mergeCells count="40">
    <mergeCell ref="B2:I3"/>
    <mergeCell ref="B5:I5"/>
    <mergeCell ref="B6:I6"/>
    <mergeCell ref="B7:C7"/>
    <mergeCell ref="E7:I7"/>
    <mergeCell ref="D8:E8"/>
    <mergeCell ref="F8:G8"/>
    <mergeCell ref="H8:I8"/>
    <mergeCell ref="D9:E9"/>
    <mergeCell ref="F9:G9"/>
    <mergeCell ref="H9:I9"/>
    <mergeCell ref="B11:I11"/>
    <mergeCell ref="B12:I12"/>
    <mergeCell ref="B13:D13"/>
    <mergeCell ref="E13:G13"/>
    <mergeCell ref="H13:I13"/>
    <mergeCell ref="B15:I15"/>
    <mergeCell ref="B16:I16"/>
    <mergeCell ref="B17:D17"/>
    <mergeCell ref="F17:I17"/>
    <mergeCell ref="F18:G18"/>
    <mergeCell ref="H18:I18"/>
    <mergeCell ref="B20:I20"/>
    <mergeCell ref="B21:I21"/>
    <mergeCell ref="B22:I22"/>
    <mergeCell ref="B23:D23"/>
    <mergeCell ref="E23:G23"/>
    <mergeCell ref="H23:I23"/>
    <mergeCell ref="B25:I25"/>
    <mergeCell ref="B26:I26"/>
    <mergeCell ref="B27:C27"/>
    <mergeCell ref="E27:I27"/>
    <mergeCell ref="E28:G28"/>
    <mergeCell ref="H28:I28"/>
    <mergeCell ref="B30:I30"/>
    <mergeCell ref="C31:I31"/>
    <mergeCell ref="C32:I32"/>
    <mergeCell ref="C33:I33"/>
    <mergeCell ref="C34:I34"/>
    <mergeCell ref="C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2"/>
    <col collapsed="false" customWidth="true" hidden="false" outlineLevel="0" max="2" min="2" style="22" width="22"/>
    <col collapsed="false" customWidth="true" hidden="false" outlineLevel="0" max="5" min="3" style="22" width="28"/>
    <col collapsed="false" customWidth="true" hidden="false" outlineLevel="0" max="6" min="6" style="22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23" t="s">
        <v>43</v>
      </c>
      <c r="C2" s="23"/>
      <c r="D2" s="23"/>
      <c r="E2" s="23"/>
    </row>
    <row r="3" customFormat="false" ht="19.5" hidden="false" customHeight="true" outlineLevel="0" collapsed="false">
      <c r="B3" s="23"/>
      <c r="C3" s="23"/>
      <c r="D3" s="23"/>
      <c r="E3" s="23"/>
    </row>
    <row r="4" customFormat="false" ht="18" hidden="false" customHeight="true" outlineLevel="0" collapsed="false">
      <c r="B4" s="24" t="s">
        <v>44</v>
      </c>
      <c r="C4" s="24"/>
      <c r="D4" s="24"/>
      <c r="E4" s="24"/>
    </row>
    <row r="5" customFormat="false" ht="9.75" hidden="false" customHeight="true" outlineLevel="0" collapsed="false"/>
    <row r="6" customFormat="false" ht="21.75" hidden="false" customHeight="true" outlineLevel="0" collapsed="false">
      <c r="B6" s="25" t="s">
        <v>45</v>
      </c>
      <c r="C6" s="25"/>
      <c r="D6" s="25"/>
      <c r="E6" s="25"/>
    </row>
    <row r="7" customFormat="false" ht="21.75" hidden="false" customHeight="true" outlineLevel="0" collapsed="false">
      <c r="B7" s="26" t="s">
        <v>46</v>
      </c>
      <c r="C7" s="27" t="s">
        <v>47</v>
      </c>
      <c r="D7" s="27"/>
      <c r="E7" s="27"/>
    </row>
    <row r="8" customFormat="false" ht="21.75" hidden="false" customHeight="true" outlineLevel="0" collapsed="false">
      <c r="B8" s="28" t="s">
        <v>48</v>
      </c>
      <c r="C8" s="29" t="s">
        <v>49</v>
      </c>
      <c r="D8" s="29"/>
      <c r="E8" s="29"/>
    </row>
    <row r="9" customFormat="false" ht="21.75" hidden="false" customHeight="true" outlineLevel="0" collapsed="false">
      <c r="B9" s="26" t="s">
        <v>50</v>
      </c>
      <c r="C9" s="27" t="s">
        <v>51</v>
      </c>
      <c r="D9" s="27"/>
      <c r="E9" s="27"/>
    </row>
    <row r="10" customFormat="false" ht="21.75" hidden="false" customHeight="true" outlineLevel="0" collapsed="false">
      <c r="B10" s="28" t="s">
        <v>52</v>
      </c>
      <c r="C10" s="30" t="s">
        <v>53</v>
      </c>
      <c r="D10" s="30"/>
      <c r="E10" s="30"/>
    </row>
    <row r="11" customFormat="false" ht="21.75" hidden="false" customHeight="true" outlineLevel="0" collapsed="false">
      <c r="B11" s="26" t="s">
        <v>54</v>
      </c>
      <c r="C11" s="27" t="s">
        <v>55</v>
      </c>
      <c r="D11" s="27"/>
      <c r="E11" s="27"/>
    </row>
    <row r="12" customFormat="false" ht="9.75" hidden="false" customHeight="true" outlineLevel="0" collapsed="false"/>
    <row r="13" customFormat="false" ht="21.75" hidden="false" customHeight="true" outlineLevel="0" collapsed="false">
      <c r="B13" s="25" t="s">
        <v>56</v>
      </c>
      <c r="C13" s="25"/>
      <c r="D13" s="25"/>
      <c r="E13" s="25"/>
    </row>
    <row r="14" customFormat="false" ht="19.5" hidden="false" customHeight="true" outlineLevel="0" collapsed="false">
      <c r="B14" s="31" t="s">
        <v>57</v>
      </c>
      <c r="C14" s="31" t="s">
        <v>58</v>
      </c>
      <c r="D14" s="31" t="s">
        <v>59</v>
      </c>
      <c r="E14" s="31" t="s">
        <v>60</v>
      </c>
    </row>
    <row r="15" customFormat="false" ht="36" hidden="false" customHeight="true" outlineLevel="0" collapsed="false">
      <c r="B15" s="32" t="s">
        <v>61</v>
      </c>
      <c r="C15" s="33" t="s">
        <v>62</v>
      </c>
      <c r="D15" s="33" t="s">
        <v>63</v>
      </c>
      <c r="E15" s="34" t="s">
        <v>64</v>
      </c>
    </row>
    <row r="16" customFormat="false" ht="36" hidden="false" customHeight="true" outlineLevel="0" collapsed="false">
      <c r="B16" s="35" t="s">
        <v>65</v>
      </c>
      <c r="C16" s="36" t="s">
        <v>66</v>
      </c>
      <c r="D16" s="37" t="s">
        <v>67</v>
      </c>
      <c r="E16" s="37" t="s">
        <v>68</v>
      </c>
    </row>
    <row r="17" customFormat="false" ht="36" hidden="false" customHeight="true" outlineLevel="0" collapsed="false">
      <c r="B17" s="38" t="s">
        <v>69</v>
      </c>
      <c r="C17" s="33" t="s">
        <v>70</v>
      </c>
      <c r="D17" s="34" t="s">
        <v>71</v>
      </c>
      <c r="E17" s="33" t="s">
        <v>72</v>
      </c>
    </row>
    <row r="18" customFormat="false" ht="9.75" hidden="false" customHeight="true" outlineLevel="0" collapsed="false"/>
    <row r="19" customFormat="false" ht="21.75" hidden="false" customHeight="true" outlineLevel="0" collapsed="false">
      <c r="B19" s="25" t="s">
        <v>73</v>
      </c>
      <c r="C19" s="25"/>
      <c r="D19" s="25"/>
      <c r="E19" s="25"/>
    </row>
    <row r="20" customFormat="false" ht="19.5" hidden="false" customHeight="true" outlineLevel="0" collapsed="false">
      <c r="B20" s="39" t="s">
        <v>74</v>
      </c>
      <c r="C20" s="40" t="s">
        <v>75</v>
      </c>
      <c r="D20" s="40"/>
      <c r="E20" s="40"/>
    </row>
    <row r="21" customFormat="false" ht="19.5" hidden="false" customHeight="true" outlineLevel="0" collapsed="false">
      <c r="B21" s="39" t="s">
        <v>76</v>
      </c>
      <c r="C21" s="40" t="s">
        <v>77</v>
      </c>
      <c r="D21" s="40"/>
      <c r="E21" s="40"/>
    </row>
    <row r="22" customFormat="false" ht="19.5" hidden="false" customHeight="true" outlineLevel="0" collapsed="false">
      <c r="B22" s="39" t="s">
        <v>78</v>
      </c>
      <c r="C22" s="40" t="s">
        <v>79</v>
      </c>
      <c r="D22" s="40"/>
      <c r="E22" s="40"/>
    </row>
    <row r="23" customFormat="false" ht="9.75" hidden="false" customHeight="true" outlineLevel="0" collapsed="false"/>
    <row r="24" customFormat="false" ht="21.75" hidden="false" customHeight="true" outlineLevel="0" collapsed="false">
      <c r="B24" s="25" t="s">
        <v>80</v>
      </c>
      <c r="C24" s="25"/>
      <c r="D24" s="25"/>
      <c r="E24" s="25"/>
    </row>
    <row r="25" customFormat="false" ht="19.5" hidden="false" customHeight="true" outlineLevel="0" collapsed="false">
      <c r="B25" s="41" t="s">
        <v>81</v>
      </c>
      <c r="C25" s="41"/>
      <c r="D25" s="41"/>
      <c r="E25" s="41"/>
    </row>
    <row r="26" customFormat="false" ht="19.5" hidden="false" customHeight="true" outlineLevel="0" collapsed="false">
      <c r="B26" s="31" t="s">
        <v>82</v>
      </c>
      <c r="C26" s="31" t="s">
        <v>83</v>
      </c>
      <c r="D26" s="31" t="s">
        <v>84</v>
      </c>
      <c r="E26" s="31" t="s">
        <v>85</v>
      </c>
      <c r="F26" s="31" t="s">
        <v>86</v>
      </c>
    </row>
    <row r="27" customFormat="false" ht="21.75" hidden="false" customHeight="true" outlineLevel="0" collapsed="false">
      <c r="B27" s="42" t="s">
        <v>87</v>
      </c>
      <c r="C27" s="33" t="s">
        <v>88</v>
      </c>
      <c r="D27" s="33" t="s">
        <v>88</v>
      </c>
      <c r="E27" s="34" t="s">
        <v>89</v>
      </c>
      <c r="F27" s="34" t="s">
        <v>90</v>
      </c>
    </row>
    <row r="28" customFormat="false" ht="21.75" hidden="false" customHeight="true" outlineLevel="0" collapsed="false">
      <c r="B28" s="43" t="s">
        <v>91</v>
      </c>
      <c r="C28" s="36" t="s">
        <v>92</v>
      </c>
      <c r="D28" s="36" t="s">
        <v>93</v>
      </c>
      <c r="E28" s="37" t="s">
        <v>94</v>
      </c>
      <c r="F28" s="37" t="s">
        <v>95</v>
      </c>
    </row>
    <row r="29" customFormat="false" ht="21.75" hidden="false" customHeight="true" outlineLevel="0" collapsed="false">
      <c r="B29" s="44" t="s">
        <v>96</v>
      </c>
      <c r="C29" s="33" t="s">
        <v>97</v>
      </c>
      <c r="D29" s="33" t="s">
        <v>98</v>
      </c>
      <c r="E29" s="34" t="s">
        <v>99</v>
      </c>
      <c r="F29" s="34" t="s">
        <v>100</v>
      </c>
    </row>
    <row r="30" customFormat="false" ht="9.75" hidden="false" customHeight="true" outlineLevel="0" collapsed="false"/>
    <row r="31" customFormat="false" ht="21.75" hidden="false" customHeight="true" outlineLevel="0" collapsed="false">
      <c r="B31" s="25" t="s">
        <v>101</v>
      </c>
      <c r="C31" s="25"/>
      <c r="D31" s="25"/>
      <c r="E31" s="25"/>
    </row>
    <row r="32" customFormat="false" ht="18" hidden="false" customHeight="true" outlineLevel="0" collapsed="false">
      <c r="B32" s="31" t="s">
        <v>102</v>
      </c>
      <c r="C32" s="31" t="s">
        <v>103</v>
      </c>
      <c r="D32" s="31" t="s">
        <v>82</v>
      </c>
    </row>
    <row r="33" customFormat="false" ht="18" hidden="false" customHeight="true" outlineLevel="0" collapsed="false">
      <c r="B33" s="33" t="s">
        <v>104</v>
      </c>
      <c r="C33" s="33" t="s">
        <v>105</v>
      </c>
      <c r="D33" s="42" t="s">
        <v>87</v>
      </c>
    </row>
    <row r="34" customFormat="false" ht="18" hidden="false" customHeight="true" outlineLevel="0" collapsed="false">
      <c r="B34" s="36" t="s">
        <v>106</v>
      </c>
      <c r="C34" s="36" t="s">
        <v>107</v>
      </c>
      <c r="D34" s="42" t="s">
        <v>87</v>
      </c>
    </row>
    <row r="35" customFormat="false" ht="18" hidden="false" customHeight="true" outlineLevel="0" collapsed="false">
      <c r="B35" s="33" t="s">
        <v>108</v>
      </c>
      <c r="C35" s="33" t="s">
        <v>109</v>
      </c>
      <c r="D35" s="43" t="s">
        <v>91</v>
      </c>
    </row>
    <row r="36" customFormat="false" ht="18" hidden="false" customHeight="true" outlineLevel="0" collapsed="false">
      <c r="B36" s="36" t="s">
        <v>110</v>
      </c>
      <c r="C36" s="36" t="s">
        <v>111</v>
      </c>
      <c r="D36" s="43" t="s">
        <v>91</v>
      </c>
    </row>
    <row r="37" customFormat="false" ht="18" hidden="false" customHeight="true" outlineLevel="0" collapsed="false">
      <c r="B37" s="33" t="s">
        <v>112</v>
      </c>
      <c r="C37" s="33" t="s">
        <v>113</v>
      </c>
      <c r="D37" s="44" t="s">
        <v>96</v>
      </c>
    </row>
    <row r="38" customFormat="false" ht="18" hidden="false" customHeight="true" outlineLevel="0" collapsed="false">
      <c r="B38" s="36" t="s">
        <v>114</v>
      </c>
      <c r="C38" s="36" t="s">
        <v>115</v>
      </c>
      <c r="D38" s="44" t="s">
        <v>96</v>
      </c>
    </row>
    <row r="40" customFormat="false" ht="9.75" hidden="false" customHeight="true" outlineLevel="0" collapsed="false"/>
    <row r="41" customFormat="false" ht="21.75" hidden="false" customHeight="true" outlineLevel="0" collapsed="false">
      <c r="B41" s="45" t="s">
        <v>116</v>
      </c>
      <c r="C41" s="45"/>
      <c r="D41" s="45"/>
      <c r="E41" s="45"/>
    </row>
    <row r="42" customFormat="false" ht="18" hidden="false" customHeight="true" outlineLevel="0" collapsed="false">
      <c r="B42" s="46" t="s">
        <v>117</v>
      </c>
      <c r="C42" s="46"/>
      <c r="D42" s="46"/>
      <c r="E42" s="46"/>
    </row>
    <row r="43" customFormat="false" ht="18" hidden="false" customHeight="true" outlineLevel="0" collapsed="false">
      <c r="B43" s="31" t="s">
        <v>118</v>
      </c>
      <c r="C43" s="31" t="s">
        <v>119</v>
      </c>
      <c r="D43" s="31" t="s">
        <v>120</v>
      </c>
    </row>
    <row r="44" customFormat="false" ht="19.5" hidden="false" customHeight="true" outlineLevel="0" collapsed="false">
      <c r="B44" s="47" t="s">
        <v>121</v>
      </c>
      <c r="C44" s="48" t="s">
        <v>122</v>
      </c>
      <c r="D44" s="49" t="s">
        <v>123</v>
      </c>
    </row>
    <row r="45" customFormat="false" ht="19.5" hidden="false" customHeight="true" outlineLevel="0" collapsed="false">
      <c r="B45" s="50" t="s">
        <v>124</v>
      </c>
      <c r="C45" s="36" t="s">
        <v>125</v>
      </c>
      <c r="D45" s="37" t="s">
        <v>126</v>
      </c>
    </row>
    <row r="46" customFormat="false" ht="19.5" hidden="false" customHeight="true" outlineLevel="0" collapsed="false">
      <c r="B46" s="51" t="s">
        <v>127</v>
      </c>
      <c r="C46" s="52" t="s">
        <v>128</v>
      </c>
      <c r="D46" s="53" t="s">
        <v>129</v>
      </c>
    </row>
    <row r="47" customFormat="false" ht="19.5" hidden="false" customHeight="true" outlineLevel="0" collapsed="false">
      <c r="B47" s="51" t="s">
        <v>130</v>
      </c>
      <c r="C47" s="52" t="s">
        <v>128</v>
      </c>
      <c r="D47" s="53" t="s">
        <v>131</v>
      </c>
    </row>
    <row r="48" customFormat="false" ht="19.5" hidden="false" customHeight="true" outlineLevel="0" collapsed="false">
      <c r="B48" s="51" t="s">
        <v>132</v>
      </c>
      <c r="C48" s="52" t="s">
        <v>128</v>
      </c>
      <c r="D48" s="53" t="s">
        <v>133</v>
      </c>
    </row>
    <row r="49" customFormat="false" ht="7.5" hidden="false" customHeight="true" outlineLevel="0" collapsed="false"/>
    <row r="50" customFormat="false" ht="7.5" hidden="false" customHeight="true" outlineLevel="0" collapsed="false">
      <c r="B50" s="54" t="s">
        <v>134</v>
      </c>
      <c r="C50" s="54"/>
      <c r="D50" s="54"/>
      <c r="E50" s="54"/>
    </row>
    <row r="51" customFormat="false" ht="21.75" hidden="false" customHeight="true" outlineLevel="0" collapsed="false">
      <c r="B51" s="54" t="s">
        <v>135</v>
      </c>
      <c r="C51" s="54"/>
      <c r="D51" s="54"/>
      <c r="E51" s="54"/>
    </row>
    <row r="53" customFormat="false" ht="9.75" hidden="false" customHeight="true" outlineLevel="0" collapsed="false"/>
    <row r="54" customFormat="false" ht="21.75" hidden="false" customHeight="true" outlineLevel="0" collapsed="false">
      <c r="B54" s="55" t="s">
        <v>136</v>
      </c>
      <c r="C54" s="55"/>
      <c r="D54" s="55"/>
      <c r="E54" s="55"/>
    </row>
    <row r="55" customFormat="false" ht="18" hidden="false" customHeight="true" outlineLevel="0" collapsed="false">
      <c r="B55" s="56" t="s">
        <v>137</v>
      </c>
      <c r="C55" s="56"/>
      <c r="D55" s="56"/>
      <c r="E55" s="56"/>
    </row>
    <row r="56" customFormat="false" ht="18" hidden="false" customHeight="true" outlineLevel="0" collapsed="false">
      <c r="B56" s="57" t="s">
        <v>82</v>
      </c>
      <c r="C56" s="57" t="s">
        <v>138</v>
      </c>
      <c r="D56" s="57" t="s">
        <v>139</v>
      </c>
      <c r="E56" s="57" t="s">
        <v>140</v>
      </c>
    </row>
    <row r="57" customFormat="false" ht="19.5" hidden="false" customHeight="true" outlineLevel="0" collapsed="false">
      <c r="B57" s="42" t="s">
        <v>87</v>
      </c>
      <c r="C57" s="48" t="s">
        <v>141</v>
      </c>
      <c r="D57" s="48" t="s">
        <v>142</v>
      </c>
      <c r="E57" s="58" t="s">
        <v>89</v>
      </c>
    </row>
    <row r="58" customFormat="false" ht="19.5" hidden="false" customHeight="true" outlineLevel="0" collapsed="false">
      <c r="B58" s="43" t="s">
        <v>91</v>
      </c>
      <c r="C58" s="36" t="s">
        <v>143</v>
      </c>
      <c r="D58" s="36" t="s">
        <v>142</v>
      </c>
      <c r="E58" s="36" t="s">
        <v>144</v>
      </c>
    </row>
    <row r="59" customFormat="false" ht="19.5" hidden="false" customHeight="true" outlineLevel="0" collapsed="false">
      <c r="B59" s="44" t="s">
        <v>96</v>
      </c>
      <c r="C59" s="48" t="s">
        <v>145</v>
      </c>
      <c r="D59" s="48" t="s">
        <v>142</v>
      </c>
      <c r="E59" s="58" t="s">
        <v>146</v>
      </c>
    </row>
    <row r="60" customFormat="false" ht="7.5" hidden="false" customHeight="true" outlineLevel="0" collapsed="false"/>
    <row r="61" customFormat="false" ht="21.75" hidden="false" customHeight="true" outlineLevel="0" collapsed="false">
      <c r="B61" s="55" t="s">
        <v>147</v>
      </c>
      <c r="C61" s="55"/>
      <c r="D61" s="55"/>
      <c r="E61" s="55"/>
    </row>
    <row r="62" customFormat="false" ht="18" hidden="false" customHeight="true" outlineLevel="0" collapsed="false">
      <c r="B62" s="56" t="s">
        <v>148</v>
      </c>
      <c r="C62" s="56"/>
      <c r="D62" s="56"/>
      <c r="E62" s="56"/>
    </row>
    <row r="63" customFormat="false" ht="19.5" hidden="false" customHeight="true" outlineLevel="0" collapsed="false">
      <c r="B63" s="59" t="s">
        <v>149</v>
      </c>
      <c r="C63" s="48" t="s">
        <v>150</v>
      </c>
      <c r="D63" s="48"/>
      <c r="E63" s="48"/>
    </row>
    <row r="64" customFormat="false" ht="19.5" hidden="false" customHeight="true" outlineLevel="0" collapsed="false">
      <c r="B64" s="60" t="s">
        <v>151</v>
      </c>
      <c r="C64" s="48" t="s">
        <v>152</v>
      </c>
      <c r="D64" s="48"/>
      <c r="E64" s="48"/>
    </row>
    <row r="65" customFormat="false" ht="19.5" hidden="false" customHeight="true" outlineLevel="0" collapsed="false">
      <c r="B65" s="61" t="s">
        <v>153</v>
      </c>
      <c r="C65" s="33" t="s">
        <v>104</v>
      </c>
      <c r="D65" s="33"/>
      <c r="E65" s="33"/>
    </row>
    <row r="66" customFormat="false" ht="19.5" hidden="false" customHeight="true" outlineLevel="0" collapsed="false">
      <c r="B66" s="62" t="s">
        <v>154</v>
      </c>
      <c r="C66" s="63" t="s">
        <v>155</v>
      </c>
      <c r="D66" s="63"/>
      <c r="E66" s="63"/>
    </row>
    <row r="67" customFormat="false" ht="19.5" hidden="false" customHeight="true" outlineLevel="0" collapsed="false">
      <c r="B67" s="62" t="s">
        <v>156</v>
      </c>
      <c r="C67" s="63" t="s">
        <v>157</v>
      </c>
      <c r="D67" s="63"/>
      <c r="E67" s="63"/>
    </row>
    <row r="68" customFormat="false" ht="19.5" hidden="false" customHeight="true" outlineLevel="0" collapsed="false">
      <c r="B68" s="64" t="s">
        <v>158</v>
      </c>
      <c r="C68" s="63" t="s">
        <v>128</v>
      </c>
      <c r="D68" s="63"/>
      <c r="E68" s="63"/>
    </row>
    <row r="69" customFormat="false" ht="7.5" hidden="false" customHeight="true" outlineLevel="0" collapsed="false"/>
    <row r="70" customFormat="false" ht="19.5" hidden="false" customHeight="true" outlineLevel="0" collapsed="false">
      <c r="B70" s="65" t="s">
        <v>159</v>
      </c>
      <c r="C70" s="65"/>
      <c r="D70" s="65"/>
      <c r="E70" s="65"/>
    </row>
  </sheetData>
  <mergeCells count="31">
    <mergeCell ref="B2:E3"/>
    <mergeCell ref="B4:E4"/>
    <mergeCell ref="B6:E6"/>
    <mergeCell ref="C7:E7"/>
    <mergeCell ref="C8:E8"/>
    <mergeCell ref="C9:E9"/>
    <mergeCell ref="C10:E10"/>
    <mergeCell ref="C11:E11"/>
    <mergeCell ref="B13:E13"/>
    <mergeCell ref="B19:E19"/>
    <mergeCell ref="C20:E20"/>
    <mergeCell ref="C21:E21"/>
    <mergeCell ref="C22:E22"/>
    <mergeCell ref="B24:E24"/>
    <mergeCell ref="B25:E25"/>
    <mergeCell ref="B31:E31"/>
    <mergeCell ref="B41:E41"/>
    <mergeCell ref="B42:E42"/>
    <mergeCell ref="B50:E50"/>
    <mergeCell ref="B51:E51"/>
    <mergeCell ref="B54:E54"/>
    <mergeCell ref="B55:E55"/>
    <mergeCell ref="B61:E61"/>
    <mergeCell ref="B62:E62"/>
    <mergeCell ref="C63:E63"/>
    <mergeCell ref="C64:E64"/>
    <mergeCell ref="C65:E65"/>
    <mergeCell ref="C66:E66"/>
    <mergeCell ref="C67:E67"/>
    <mergeCell ref="C68:E68"/>
    <mergeCell ref="B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2"/>
    <col collapsed="false" customWidth="true" hidden="false" outlineLevel="0" max="2" min="2" style="22" width="14"/>
    <col collapsed="false" customWidth="true" hidden="false" outlineLevel="0" max="5" min="3" style="22" width="10"/>
    <col collapsed="false" customWidth="true" hidden="false" outlineLevel="0" max="8" min="6" style="22" width="12"/>
    <col collapsed="false" customWidth="true" hidden="false" outlineLevel="0" max="9" min="9" style="22" width="14"/>
    <col collapsed="false" customWidth="true" hidden="false" outlineLevel="0" max="10" min="10" style="22" width="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66" t="s">
        <v>160</v>
      </c>
      <c r="C2" s="66"/>
      <c r="D2" s="66"/>
      <c r="E2" s="66"/>
      <c r="F2" s="66"/>
      <c r="G2" s="66"/>
      <c r="H2" s="66"/>
      <c r="I2" s="66"/>
    </row>
    <row r="3" customFormat="false" ht="18" hidden="false" customHeight="true" outlineLevel="0" collapsed="false">
      <c r="B3" s="66"/>
      <c r="C3" s="66"/>
      <c r="D3" s="66"/>
      <c r="E3" s="66"/>
      <c r="F3" s="66"/>
      <c r="G3" s="66"/>
      <c r="H3" s="66"/>
      <c r="I3" s="66"/>
    </row>
    <row r="4" customFormat="false" ht="7.5" hidden="false" customHeight="true" outlineLevel="0" collapsed="false"/>
    <row r="5" customFormat="false" ht="21.75" hidden="false" customHeight="true" outlineLevel="0" collapsed="false">
      <c r="B5" s="67" t="s">
        <v>74</v>
      </c>
      <c r="C5" s="67"/>
      <c r="D5" s="67"/>
      <c r="E5" s="67"/>
      <c r="F5" s="67"/>
      <c r="G5" s="67"/>
      <c r="H5" s="67"/>
      <c r="I5" s="67"/>
    </row>
    <row r="6" customFormat="false" ht="18" hidden="false" customHeight="true" outlineLevel="0" collapsed="false">
      <c r="B6" s="68" t="s">
        <v>57</v>
      </c>
      <c r="C6" s="68" t="s">
        <v>161</v>
      </c>
      <c r="D6" s="68" t="s">
        <v>162</v>
      </c>
      <c r="E6" s="68" t="s">
        <v>163</v>
      </c>
      <c r="F6" s="68" t="s">
        <v>164</v>
      </c>
      <c r="G6" s="68" t="s">
        <v>165</v>
      </c>
      <c r="H6" s="68" t="s">
        <v>166</v>
      </c>
      <c r="I6" s="68" t="s">
        <v>167</v>
      </c>
      <c r="J6" s="69" t="s">
        <v>168</v>
      </c>
    </row>
    <row r="7" customFormat="false" ht="18" hidden="false" customHeight="true" outlineLevel="0" collapsed="false">
      <c r="B7" s="70" t="s">
        <v>5</v>
      </c>
      <c r="C7" s="71" t="s">
        <v>108</v>
      </c>
      <c r="D7" s="71" t="n">
        <v>0</v>
      </c>
      <c r="E7" s="71" t="n">
        <v>0</v>
      </c>
      <c r="F7" s="71" t="n">
        <v>0</v>
      </c>
      <c r="G7" s="72" t="n">
        <f aca="false">IFERROR(E7/D7*100,0)</f>
        <v>0</v>
      </c>
      <c r="H7" s="71" t="n">
        <v>0</v>
      </c>
      <c r="I7" s="71" t="n">
        <v>0</v>
      </c>
      <c r="J7" s="72" t="n">
        <f aca="false">IFERROR((I7-H7)/H7*100,0)</f>
        <v>0</v>
      </c>
    </row>
    <row r="8" customFormat="false" ht="18" hidden="false" customHeight="true" outlineLevel="0" collapsed="false">
      <c r="B8" s="73" t="s">
        <v>5</v>
      </c>
      <c r="C8" s="74" t="s">
        <v>110</v>
      </c>
      <c r="D8" s="74" t="n">
        <v>0</v>
      </c>
      <c r="E8" s="74" t="n">
        <v>0</v>
      </c>
      <c r="F8" s="74" t="n">
        <v>0</v>
      </c>
      <c r="G8" s="75" t="n">
        <f aca="false">IFERROR(E8/D8*100,0)</f>
        <v>0</v>
      </c>
      <c r="H8" s="74" t="n">
        <v>0</v>
      </c>
      <c r="I8" s="74" t="n">
        <v>0</v>
      </c>
      <c r="J8" s="75" t="n">
        <f aca="false">IFERROR((I8-H8)/H8*100,0)</f>
        <v>0</v>
      </c>
    </row>
    <row r="9" customFormat="false" ht="18" hidden="false" customHeight="true" outlineLevel="0" collapsed="false">
      <c r="B9" s="70" t="s">
        <v>5</v>
      </c>
      <c r="C9" s="71" t="s">
        <v>112</v>
      </c>
      <c r="D9" s="71" t="n">
        <v>0</v>
      </c>
      <c r="E9" s="71" t="n">
        <v>0</v>
      </c>
      <c r="F9" s="71" t="n">
        <v>0</v>
      </c>
      <c r="G9" s="72" t="n">
        <f aca="false">IFERROR(E9/D9*100,0)</f>
        <v>0</v>
      </c>
      <c r="H9" s="71" t="n">
        <v>0</v>
      </c>
      <c r="I9" s="71" t="n">
        <v>0</v>
      </c>
      <c r="J9" s="72" t="n">
        <f aca="false">IFERROR((I9-H9)/H9*100,0)</f>
        <v>0</v>
      </c>
    </row>
    <row r="10" customFormat="false" ht="18" hidden="false" customHeight="true" outlineLevel="0" collapsed="false">
      <c r="B10" s="73" t="s">
        <v>5</v>
      </c>
      <c r="C10" s="74" t="s">
        <v>114</v>
      </c>
      <c r="D10" s="74" t="n">
        <v>0</v>
      </c>
      <c r="E10" s="74" t="n">
        <v>0</v>
      </c>
      <c r="F10" s="74" t="n">
        <v>0</v>
      </c>
      <c r="G10" s="75" t="n">
        <f aca="false">IFERROR(E10/D10*100,0)</f>
        <v>0</v>
      </c>
      <c r="H10" s="74" t="n">
        <v>0</v>
      </c>
      <c r="I10" s="74" t="n">
        <v>0</v>
      </c>
      <c r="J10" s="75" t="n">
        <f aca="false">IFERROR((I10-H10)/H10*100,0)</f>
        <v>0</v>
      </c>
    </row>
    <row r="11" customFormat="false" ht="18" hidden="false" customHeight="true" outlineLevel="0" collapsed="false">
      <c r="B11" s="70" t="s">
        <v>5</v>
      </c>
      <c r="C11" s="71" t="s">
        <v>169</v>
      </c>
      <c r="D11" s="71" t="n">
        <v>0</v>
      </c>
      <c r="E11" s="71" t="n">
        <v>0</v>
      </c>
      <c r="F11" s="71" t="n">
        <v>0</v>
      </c>
      <c r="G11" s="72" t="n">
        <f aca="false">IFERROR(E11/D11*100,0)</f>
        <v>0</v>
      </c>
      <c r="H11" s="71" t="n">
        <v>0</v>
      </c>
      <c r="I11" s="71" t="n">
        <v>0</v>
      </c>
      <c r="J11" s="72" t="n">
        <f aca="false">IFERROR((I11-H11)/H11*100,0)</f>
        <v>0</v>
      </c>
    </row>
    <row r="12" customFormat="false" ht="18" hidden="false" customHeight="true" outlineLevel="0" collapsed="false">
      <c r="B12" s="73" t="s">
        <v>5</v>
      </c>
      <c r="C12" s="74" t="s">
        <v>170</v>
      </c>
      <c r="D12" s="74" t="n">
        <v>0</v>
      </c>
      <c r="E12" s="74" t="n">
        <v>0</v>
      </c>
      <c r="F12" s="74" t="n">
        <v>0</v>
      </c>
      <c r="G12" s="75" t="n">
        <f aca="false">IFERROR(E12/D12*100,0)</f>
        <v>0</v>
      </c>
      <c r="H12" s="74" t="n">
        <v>0</v>
      </c>
      <c r="I12" s="74" t="n">
        <v>0</v>
      </c>
      <c r="J12" s="75" t="n">
        <f aca="false">IFERROR((I12-H12)/H12*100,0)</f>
        <v>0</v>
      </c>
    </row>
    <row r="13" customFormat="false" ht="18" hidden="false" customHeight="true" outlineLevel="0" collapsed="false">
      <c r="B13" s="70" t="s">
        <v>5</v>
      </c>
      <c r="C13" s="71" t="s">
        <v>171</v>
      </c>
      <c r="D13" s="71" t="n">
        <v>0</v>
      </c>
      <c r="E13" s="71" t="n">
        <v>0</v>
      </c>
      <c r="F13" s="71" t="n">
        <v>0</v>
      </c>
      <c r="G13" s="72" t="n">
        <f aca="false">IFERROR(E13/D13*100,0)</f>
        <v>0</v>
      </c>
      <c r="H13" s="71" t="n">
        <v>0</v>
      </c>
      <c r="I13" s="71" t="n">
        <v>0</v>
      </c>
      <c r="J13" s="72" t="n">
        <f aca="false">IFERROR((I13-H13)/H13*100,0)</f>
        <v>0</v>
      </c>
    </row>
    <row r="14" customFormat="false" ht="19.5" hidden="false" customHeight="true" outlineLevel="0" collapsed="false">
      <c r="B14" s="76" t="s">
        <v>172</v>
      </c>
      <c r="C14" s="76" t="n">
        <f aca="false">SUM(C7:C13)</f>
        <v>0</v>
      </c>
      <c r="D14" s="76" t="n">
        <f aca="false">SUM(D7:D13)</f>
        <v>0</v>
      </c>
      <c r="E14" s="76" t="n">
        <f aca="false">SUM(E7:E13)</f>
        <v>0</v>
      </c>
      <c r="F14" s="76" t="n">
        <f aca="false">IFERROR(D14/C14*100,0)</f>
        <v>0</v>
      </c>
      <c r="G14" s="77" t="n">
        <f aca="false">SUM(G7:G13)</f>
        <v>0</v>
      </c>
      <c r="H14" s="76" t="n">
        <f aca="false">SUM(H7:H13)</f>
        <v>0</v>
      </c>
      <c r="I14" s="76" t="n">
        <f aca="false">IFERROR((H14-G14)/G14*100,0)</f>
        <v>0</v>
      </c>
    </row>
    <row r="16" customFormat="false" ht="21.75" hidden="false" customHeight="true" outlineLevel="0" collapsed="false">
      <c r="B16" s="78" t="s">
        <v>76</v>
      </c>
      <c r="C16" s="78"/>
      <c r="D16" s="78"/>
      <c r="E16" s="78"/>
      <c r="F16" s="78"/>
      <c r="G16" s="78"/>
      <c r="H16" s="78"/>
      <c r="I16" s="78"/>
    </row>
    <row r="17" customFormat="false" ht="18" hidden="false" customHeight="true" outlineLevel="0" collapsed="false">
      <c r="B17" s="68" t="s">
        <v>57</v>
      </c>
      <c r="C17" s="68" t="s">
        <v>161</v>
      </c>
      <c r="D17" s="68" t="s">
        <v>162</v>
      </c>
      <c r="E17" s="68" t="s">
        <v>163</v>
      </c>
      <c r="F17" s="68" t="s">
        <v>164</v>
      </c>
      <c r="G17" s="68" t="s">
        <v>165</v>
      </c>
      <c r="H17" s="68" t="s">
        <v>166</v>
      </c>
      <c r="I17" s="68" t="s">
        <v>167</v>
      </c>
      <c r="J17" s="69" t="s">
        <v>168</v>
      </c>
    </row>
    <row r="18" customFormat="false" ht="18" hidden="false" customHeight="true" outlineLevel="0" collapsed="false">
      <c r="B18" s="70" t="s">
        <v>6</v>
      </c>
      <c r="C18" s="71" t="s">
        <v>108</v>
      </c>
      <c r="D18" s="71" t="n">
        <v>0</v>
      </c>
      <c r="E18" s="71" t="n">
        <v>0</v>
      </c>
      <c r="F18" s="71" t="n">
        <v>0</v>
      </c>
      <c r="G18" s="72" t="n">
        <f aca="false">IFERROR(E18/D18*100,0)</f>
        <v>0</v>
      </c>
      <c r="H18" s="71" t="n">
        <v>0</v>
      </c>
      <c r="I18" s="71" t="n">
        <v>0</v>
      </c>
      <c r="J18" s="72" t="n">
        <f aca="false">IFERROR((I18-H18)/H18*100,0)</f>
        <v>0</v>
      </c>
    </row>
    <row r="19" customFormat="false" ht="18" hidden="false" customHeight="true" outlineLevel="0" collapsed="false">
      <c r="B19" s="73" t="s">
        <v>6</v>
      </c>
      <c r="C19" s="74" t="s">
        <v>110</v>
      </c>
      <c r="D19" s="74" t="n">
        <v>0</v>
      </c>
      <c r="E19" s="74" t="n">
        <v>0</v>
      </c>
      <c r="F19" s="74" t="n">
        <v>0</v>
      </c>
      <c r="G19" s="75" t="n">
        <f aca="false">IFERROR(E19/D19*100,0)</f>
        <v>0</v>
      </c>
      <c r="H19" s="74" t="n">
        <v>0</v>
      </c>
      <c r="I19" s="74" t="n">
        <v>0</v>
      </c>
      <c r="J19" s="75" t="n">
        <f aca="false">IFERROR((I19-H19)/H19*100,0)</f>
        <v>0</v>
      </c>
    </row>
    <row r="20" customFormat="false" ht="18" hidden="false" customHeight="true" outlineLevel="0" collapsed="false">
      <c r="B20" s="70" t="s">
        <v>6</v>
      </c>
      <c r="C20" s="71" t="s">
        <v>112</v>
      </c>
      <c r="D20" s="71" t="n">
        <v>0</v>
      </c>
      <c r="E20" s="71" t="n">
        <v>0</v>
      </c>
      <c r="F20" s="71" t="n">
        <v>0</v>
      </c>
      <c r="G20" s="72" t="n">
        <f aca="false">IFERROR(E20/D20*100,0)</f>
        <v>0</v>
      </c>
      <c r="H20" s="71" t="n">
        <v>0</v>
      </c>
      <c r="I20" s="71" t="n">
        <v>0</v>
      </c>
      <c r="J20" s="72" t="n">
        <f aca="false">IFERROR((I20-H20)/H20*100,0)</f>
        <v>0</v>
      </c>
    </row>
    <row r="21" customFormat="false" ht="18" hidden="false" customHeight="true" outlineLevel="0" collapsed="false">
      <c r="B21" s="73" t="s">
        <v>6</v>
      </c>
      <c r="C21" s="74" t="s">
        <v>114</v>
      </c>
      <c r="D21" s="74" t="n">
        <v>0</v>
      </c>
      <c r="E21" s="74" t="n">
        <v>0</v>
      </c>
      <c r="F21" s="74" t="n">
        <v>0</v>
      </c>
      <c r="G21" s="75" t="n">
        <f aca="false">IFERROR(E21/D21*100,0)</f>
        <v>0</v>
      </c>
      <c r="H21" s="74" t="n">
        <v>0</v>
      </c>
      <c r="I21" s="74" t="n">
        <v>0</v>
      </c>
      <c r="J21" s="75" t="n">
        <f aca="false">IFERROR((I21-H21)/H21*100,0)</f>
        <v>0</v>
      </c>
    </row>
    <row r="22" customFormat="false" ht="18" hidden="false" customHeight="true" outlineLevel="0" collapsed="false">
      <c r="B22" s="70" t="s">
        <v>6</v>
      </c>
      <c r="C22" s="71" t="s">
        <v>169</v>
      </c>
      <c r="D22" s="71" t="n">
        <v>0</v>
      </c>
      <c r="E22" s="71" t="n">
        <v>0</v>
      </c>
      <c r="F22" s="71" t="n">
        <v>0</v>
      </c>
      <c r="G22" s="72" t="n">
        <f aca="false">IFERROR(E22/D22*100,0)</f>
        <v>0</v>
      </c>
      <c r="H22" s="71" t="n">
        <v>0</v>
      </c>
      <c r="I22" s="71" t="n">
        <v>0</v>
      </c>
      <c r="J22" s="72" t="n">
        <f aca="false">IFERROR((I22-H22)/H22*100,0)</f>
        <v>0</v>
      </c>
    </row>
    <row r="23" customFormat="false" ht="19.5" hidden="false" customHeight="true" outlineLevel="0" collapsed="false">
      <c r="B23" s="76" t="s">
        <v>172</v>
      </c>
      <c r="C23" s="76" t="n">
        <f aca="false">SUM(C18:C22)</f>
        <v>0</v>
      </c>
      <c r="D23" s="76" t="n">
        <f aca="false">SUM(D18:D22)</f>
        <v>0</v>
      </c>
      <c r="E23" s="76" t="n">
        <f aca="false">SUM(E18:E22)</f>
        <v>0</v>
      </c>
      <c r="F23" s="76" t="n">
        <f aca="false">IFERROR(D23/C23*100,0)</f>
        <v>0</v>
      </c>
      <c r="G23" s="77" t="n">
        <f aca="false">SUM(G18:G22)</f>
        <v>0</v>
      </c>
      <c r="H23" s="76" t="n">
        <f aca="false">SUM(H18:H22)</f>
        <v>0</v>
      </c>
      <c r="I23" s="76" t="n">
        <f aca="false">IFERROR((H23-G23)/G23*100,0)</f>
        <v>0</v>
      </c>
    </row>
    <row r="25" customFormat="false" ht="21.75" hidden="false" customHeight="true" outlineLevel="0" collapsed="false">
      <c r="B25" s="79" t="s">
        <v>78</v>
      </c>
      <c r="C25" s="79"/>
      <c r="D25" s="79"/>
      <c r="E25" s="79"/>
      <c r="F25" s="79"/>
      <c r="G25" s="79"/>
      <c r="H25" s="79"/>
      <c r="I25" s="79"/>
    </row>
    <row r="26" customFormat="false" ht="18" hidden="false" customHeight="true" outlineLevel="0" collapsed="false">
      <c r="B26" s="68" t="s">
        <v>57</v>
      </c>
      <c r="C26" s="68" t="s">
        <v>161</v>
      </c>
      <c r="D26" s="68" t="s">
        <v>162</v>
      </c>
      <c r="E26" s="68" t="s">
        <v>163</v>
      </c>
      <c r="F26" s="68" t="s">
        <v>164</v>
      </c>
      <c r="G26" s="68" t="s">
        <v>165</v>
      </c>
      <c r="H26" s="68" t="s">
        <v>166</v>
      </c>
      <c r="I26" s="68" t="s">
        <v>167</v>
      </c>
      <c r="J26" s="69" t="s">
        <v>168</v>
      </c>
    </row>
    <row r="27" customFormat="false" ht="18" hidden="false" customHeight="true" outlineLevel="0" collapsed="false">
      <c r="B27" s="70" t="s">
        <v>7</v>
      </c>
      <c r="C27" s="71" t="s">
        <v>108</v>
      </c>
      <c r="D27" s="71" t="n">
        <v>0</v>
      </c>
      <c r="E27" s="71" t="n">
        <v>0</v>
      </c>
      <c r="F27" s="71" t="n">
        <v>0</v>
      </c>
      <c r="G27" s="72" t="n">
        <f aca="false">IFERROR(E27/D27*100,0)</f>
        <v>0</v>
      </c>
      <c r="H27" s="71" t="n">
        <v>0</v>
      </c>
      <c r="I27" s="71" t="n">
        <v>0</v>
      </c>
      <c r="J27" s="72" t="n">
        <f aca="false">IFERROR((I27-H27)/H27*100,0)</f>
        <v>0</v>
      </c>
    </row>
    <row r="28" customFormat="false" ht="18" hidden="false" customHeight="true" outlineLevel="0" collapsed="false">
      <c r="B28" s="73" t="s">
        <v>7</v>
      </c>
      <c r="C28" s="74" t="s">
        <v>110</v>
      </c>
      <c r="D28" s="74" t="n">
        <v>0</v>
      </c>
      <c r="E28" s="74" t="n">
        <v>0</v>
      </c>
      <c r="F28" s="74" t="n">
        <v>0</v>
      </c>
      <c r="G28" s="75" t="n">
        <f aca="false">IFERROR(E28/D28*100,0)</f>
        <v>0</v>
      </c>
      <c r="H28" s="74" t="n">
        <v>0</v>
      </c>
      <c r="I28" s="74" t="n">
        <v>0</v>
      </c>
      <c r="J28" s="75" t="n">
        <f aca="false">IFERROR((I28-H28)/H28*100,0)</f>
        <v>0</v>
      </c>
    </row>
    <row r="29" customFormat="false" ht="18" hidden="false" customHeight="true" outlineLevel="0" collapsed="false">
      <c r="B29" s="70" t="s">
        <v>7</v>
      </c>
      <c r="C29" s="71" t="s">
        <v>112</v>
      </c>
      <c r="D29" s="71" t="n">
        <v>0</v>
      </c>
      <c r="E29" s="71" t="n">
        <v>0</v>
      </c>
      <c r="F29" s="71" t="n">
        <v>0</v>
      </c>
      <c r="G29" s="72" t="n">
        <f aca="false">IFERROR(E29/D29*100,0)</f>
        <v>0</v>
      </c>
      <c r="H29" s="71" t="n">
        <v>0</v>
      </c>
      <c r="I29" s="71" t="n">
        <v>0</v>
      </c>
      <c r="J29" s="72" t="n">
        <f aca="false">IFERROR((I29-H29)/H29*100,0)</f>
        <v>0</v>
      </c>
    </row>
    <row r="30" customFormat="false" ht="18" hidden="false" customHeight="true" outlineLevel="0" collapsed="false">
      <c r="B30" s="73" t="s">
        <v>7</v>
      </c>
      <c r="C30" s="74" t="s">
        <v>114</v>
      </c>
      <c r="D30" s="74" t="n">
        <v>0</v>
      </c>
      <c r="E30" s="74" t="n">
        <v>0</v>
      </c>
      <c r="F30" s="74" t="n">
        <v>0</v>
      </c>
      <c r="G30" s="75" t="n">
        <f aca="false">IFERROR(E30/D30*100,0)</f>
        <v>0</v>
      </c>
      <c r="H30" s="74" t="n">
        <v>0</v>
      </c>
      <c r="I30" s="74" t="n">
        <v>0</v>
      </c>
      <c r="J30" s="75" t="n">
        <f aca="false">IFERROR((I30-H30)/H30*100,0)</f>
        <v>0</v>
      </c>
    </row>
    <row r="31" customFormat="false" ht="18" hidden="false" customHeight="true" outlineLevel="0" collapsed="false">
      <c r="B31" s="70" t="s">
        <v>7</v>
      </c>
      <c r="C31" s="71" t="s">
        <v>169</v>
      </c>
      <c r="D31" s="71" t="n">
        <v>0</v>
      </c>
      <c r="E31" s="71" t="n">
        <v>0</v>
      </c>
      <c r="F31" s="71" t="n">
        <v>0</v>
      </c>
      <c r="G31" s="72" t="n">
        <f aca="false">IFERROR(E31/D31*100,0)</f>
        <v>0</v>
      </c>
      <c r="H31" s="71" t="n">
        <v>0</v>
      </c>
      <c r="I31" s="71" t="n">
        <v>0</v>
      </c>
      <c r="J31" s="72" t="n">
        <f aca="false">IFERROR((I31-H31)/H31*100,0)</f>
        <v>0</v>
      </c>
    </row>
    <row r="32" customFormat="false" ht="18" hidden="false" customHeight="true" outlineLevel="0" collapsed="false">
      <c r="B32" s="73" t="s">
        <v>7</v>
      </c>
      <c r="C32" s="74" t="s">
        <v>170</v>
      </c>
      <c r="D32" s="74" t="n">
        <v>0</v>
      </c>
      <c r="E32" s="74" t="n">
        <v>0</v>
      </c>
      <c r="F32" s="74" t="n">
        <v>0</v>
      </c>
      <c r="G32" s="75" t="n">
        <f aca="false">IFERROR(E32/D32*100,0)</f>
        <v>0</v>
      </c>
      <c r="H32" s="74" t="n">
        <v>0</v>
      </c>
      <c r="I32" s="74" t="n">
        <v>0</v>
      </c>
      <c r="J32" s="75" t="n">
        <f aca="false">IFERROR((I32-H32)/H32*100,0)</f>
        <v>0</v>
      </c>
    </row>
    <row r="33" customFormat="false" ht="18" hidden="false" customHeight="true" outlineLevel="0" collapsed="false">
      <c r="B33" s="70" t="s">
        <v>7</v>
      </c>
      <c r="C33" s="71" t="s">
        <v>171</v>
      </c>
      <c r="D33" s="71" t="n">
        <v>0</v>
      </c>
      <c r="E33" s="71" t="n">
        <v>0</v>
      </c>
      <c r="F33" s="71" t="n">
        <v>0</v>
      </c>
      <c r="G33" s="72" t="n">
        <f aca="false">IFERROR(E33/D33*100,0)</f>
        <v>0</v>
      </c>
      <c r="H33" s="71" t="n">
        <v>0</v>
      </c>
      <c r="I33" s="71" t="n">
        <v>0</v>
      </c>
      <c r="J33" s="72" t="n">
        <f aca="false">IFERROR((I33-H33)/H33*100,0)</f>
        <v>0</v>
      </c>
    </row>
    <row r="34" customFormat="false" ht="18" hidden="false" customHeight="true" outlineLevel="0" collapsed="false">
      <c r="B34" s="73" t="s">
        <v>7</v>
      </c>
      <c r="C34" s="74" t="s">
        <v>173</v>
      </c>
      <c r="D34" s="74" t="n">
        <v>0</v>
      </c>
      <c r="E34" s="74" t="n">
        <v>0</v>
      </c>
      <c r="F34" s="74" t="n">
        <v>0</v>
      </c>
      <c r="G34" s="75" t="n">
        <f aca="false">IFERROR(E34/D34*100,0)</f>
        <v>0</v>
      </c>
      <c r="H34" s="74" t="n">
        <v>0</v>
      </c>
      <c r="I34" s="74" t="n">
        <v>0</v>
      </c>
      <c r="J34" s="75" t="n">
        <f aca="false">IFERROR((I34-H34)/H34*100,0)</f>
        <v>0</v>
      </c>
    </row>
    <row r="35" customFormat="false" ht="18" hidden="false" customHeight="true" outlineLevel="0" collapsed="false">
      <c r="B35" s="70" t="s">
        <v>7</v>
      </c>
      <c r="C35" s="71" t="s">
        <v>174</v>
      </c>
      <c r="D35" s="71" t="n">
        <v>0</v>
      </c>
      <c r="E35" s="71" t="n">
        <v>0</v>
      </c>
      <c r="F35" s="71" t="n">
        <v>0</v>
      </c>
      <c r="G35" s="72" t="n">
        <f aca="false">IFERROR(E35/D35*100,0)</f>
        <v>0</v>
      </c>
      <c r="H35" s="71" t="n">
        <v>0</v>
      </c>
      <c r="I35" s="71" t="n">
        <v>0</v>
      </c>
      <c r="J35" s="72" t="n">
        <f aca="false">IFERROR((I35-H35)/H35*100,0)</f>
        <v>0</v>
      </c>
    </row>
    <row r="36" customFormat="false" ht="18" hidden="false" customHeight="true" outlineLevel="0" collapsed="false">
      <c r="B36" s="73" t="s">
        <v>7</v>
      </c>
      <c r="C36" s="74" t="s">
        <v>175</v>
      </c>
      <c r="D36" s="74" t="n">
        <v>0</v>
      </c>
      <c r="E36" s="74" t="n">
        <v>0</v>
      </c>
      <c r="F36" s="74" t="n">
        <v>0</v>
      </c>
      <c r="G36" s="75" t="n">
        <f aca="false">IFERROR(E36/D36*100,0)</f>
        <v>0</v>
      </c>
      <c r="H36" s="74" t="n">
        <v>0</v>
      </c>
      <c r="I36" s="74" t="n">
        <v>0</v>
      </c>
      <c r="J36" s="75" t="n">
        <f aca="false">IFERROR((I36-H36)/H36*100,0)</f>
        <v>0</v>
      </c>
    </row>
    <row r="37" customFormat="false" ht="19.5" hidden="false" customHeight="true" outlineLevel="0" collapsed="false">
      <c r="B37" s="76" t="s">
        <v>172</v>
      </c>
      <c r="C37" s="76" t="n">
        <f aca="false">SUM(C27:C36)</f>
        <v>0</v>
      </c>
      <c r="D37" s="76" t="n">
        <f aca="false">SUM(D27:D36)</f>
        <v>0</v>
      </c>
      <c r="E37" s="76" t="n">
        <f aca="false">SUM(E27:E36)</f>
        <v>0</v>
      </c>
      <c r="F37" s="76" t="n">
        <f aca="false">IFERROR(D37/C37*100,0)</f>
        <v>0</v>
      </c>
      <c r="G37" s="77" t="n">
        <f aca="false">SUM(G27:G36)</f>
        <v>0</v>
      </c>
      <c r="H37" s="76" t="n">
        <f aca="false">SUM(H27:H36)</f>
        <v>0</v>
      </c>
      <c r="I37" s="76" t="n">
        <f aca="false">IFERROR((H37-G37)/G37*100,0)</f>
        <v>0</v>
      </c>
    </row>
  </sheetData>
  <mergeCells count="4">
    <mergeCell ref="B2:I3"/>
    <mergeCell ref="B5:I5"/>
    <mergeCell ref="B16:I16"/>
    <mergeCell ref="B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2"/>
    <col collapsed="false" customWidth="true" hidden="false" outlineLevel="0" max="2" min="2" style="22" width="10"/>
    <col collapsed="false" customWidth="true" hidden="false" outlineLevel="0" max="3" min="3" style="22" width="8"/>
    <col collapsed="false" customWidth="true" hidden="false" outlineLevel="0" max="5" min="4" style="22" width="16"/>
    <col collapsed="false" customWidth="true" hidden="false" outlineLevel="0" max="8" min="6" style="22" width="10"/>
    <col collapsed="false" customWidth="true" hidden="false" outlineLevel="0" max="10" min="9" style="22" width="12"/>
    <col collapsed="false" customWidth="true" hidden="false" outlineLevel="0" max="11" min="11" style="22" width="14"/>
    <col collapsed="false" customWidth="true" hidden="false" outlineLevel="0" max="12" min="12" style="22" width="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66" t="s">
        <v>176</v>
      </c>
      <c r="C2" s="66"/>
      <c r="D2" s="66"/>
      <c r="E2" s="66"/>
      <c r="F2" s="66"/>
      <c r="G2" s="66"/>
      <c r="H2" s="66"/>
      <c r="I2" s="66"/>
      <c r="J2" s="66"/>
      <c r="K2" s="66"/>
    </row>
    <row r="3" customFormat="false" ht="18" hidden="false" customHeight="true" outlineLevel="0" collapsed="false">
      <c r="B3" s="66"/>
      <c r="C3" s="66"/>
      <c r="D3" s="66"/>
      <c r="E3" s="66"/>
      <c r="F3" s="66"/>
      <c r="G3" s="66"/>
      <c r="H3" s="66"/>
      <c r="I3" s="66"/>
      <c r="J3" s="66"/>
      <c r="K3" s="66"/>
    </row>
    <row r="4" customFormat="false" ht="7.5" hidden="false" customHeight="true" outlineLevel="0" collapsed="false"/>
    <row r="5" customFormat="false" ht="31.5" hidden="false" customHeight="true" outlineLevel="0" collapsed="false">
      <c r="B5" s="68" t="s">
        <v>177</v>
      </c>
      <c r="C5" s="68" t="s">
        <v>57</v>
      </c>
      <c r="D5" s="68" t="s">
        <v>178</v>
      </c>
      <c r="E5" s="68" t="s">
        <v>179</v>
      </c>
      <c r="F5" s="68" t="s">
        <v>180</v>
      </c>
      <c r="G5" s="68" t="s">
        <v>181</v>
      </c>
      <c r="H5" s="68" t="s">
        <v>182</v>
      </c>
      <c r="I5" s="68" t="s">
        <v>183</v>
      </c>
      <c r="J5" s="68" t="s">
        <v>184</v>
      </c>
      <c r="K5" s="68" t="s">
        <v>185</v>
      </c>
      <c r="L5" s="68" t="s">
        <v>186</v>
      </c>
    </row>
    <row r="6" customFormat="false" ht="18" hidden="false" customHeight="true" outlineLevel="0" collapsed="false">
      <c r="B6" s="80"/>
      <c r="C6" s="80"/>
      <c r="D6" s="80"/>
      <c r="E6" s="80"/>
      <c r="F6" s="80"/>
      <c r="G6" s="80"/>
      <c r="H6" s="80"/>
      <c r="I6" s="80"/>
      <c r="J6" s="81" t="str">
        <f aca="false">IF(I6="승",G6*(F6-1),IF(I6="패",-G6,""))</f>
        <v/>
      </c>
      <c r="K6" s="81" t="str">
        <f aca="false">IFERROR(J6,0)</f>
        <v/>
      </c>
      <c r="L6" s="80"/>
    </row>
    <row r="7" customFormat="false" ht="18" hidden="false" customHeight="true" outlineLevel="0" collapsed="false">
      <c r="B7" s="82"/>
      <c r="C7" s="82"/>
      <c r="D7" s="82"/>
      <c r="E7" s="82"/>
      <c r="F7" s="82"/>
      <c r="G7" s="82"/>
      <c r="H7" s="82"/>
      <c r="I7" s="82"/>
      <c r="J7" s="83" t="str">
        <f aca="false">IF(I7="승",G7*(F7-1),IF(I7="패",-G7,""))</f>
        <v/>
      </c>
      <c r="K7" s="83" t="str">
        <f aca="false">IFERROR(K6+J7,K6)</f>
        <v/>
      </c>
      <c r="L7" s="82"/>
    </row>
    <row r="8" customFormat="false" ht="18" hidden="false" customHeight="true" outlineLevel="0" collapsed="false">
      <c r="B8" s="80"/>
      <c r="C8" s="80"/>
      <c r="D8" s="80"/>
      <c r="E8" s="80"/>
      <c r="F8" s="80"/>
      <c r="G8" s="80"/>
      <c r="H8" s="80"/>
      <c r="I8" s="80"/>
      <c r="J8" s="81" t="str">
        <f aca="false">IF(I8="승",G8*(F8-1),IF(I8="패",-G8,""))</f>
        <v/>
      </c>
      <c r="K8" s="81" t="str">
        <f aca="false">IFERROR(K7+J8,K7)</f>
        <v/>
      </c>
      <c r="L8" s="80"/>
    </row>
    <row r="9" customFormat="false" ht="18" hidden="false" customHeight="true" outlineLevel="0" collapsed="false">
      <c r="B9" s="82"/>
      <c r="C9" s="82"/>
      <c r="D9" s="82"/>
      <c r="E9" s="82"/>
      <c r="F9" s="82"/>
      <c r="G9" s="82"/>
      <c r="H9" s="82"/>
      <c r="I9" s="82"/>
      <c r="J9" s="83" t="str">
        <f aca="false">IF(I9="승",G9*(F9-1),IF(I9="패",-G9,""))</f>
        <v/>
      </c>
      <c r="K9" s="83" t="str">
        <f aca="false">IFERROR(K8+J9,K8)</f>
        <v/>
      </c>
      <c r="L9" s="82"/>
    </row>
    <row r="10" customFormat="false" ht="18" hidden="false" customHeight="true" outlineLevel="0" collapsed="false">
      <c r="B10" s="80"/>
      <c r="C10" s="80"/>
      <c r="D10" s="80"/>
      <c r="E10" s="80"/>
      <c r="F10" s="80"/>
      <c r="G10" s="80"/>
      <c r="H10" s="80"/>
      <c r="I10" s="80"/>
      <c r="J10" s="81" t="str">
        <f aca="false">IF(I10="승",G10*(F10-1),IF(I10="패",-G10,""))</f>
        <v/>
      </c>
      <c r="K10" s="81" t="str">
        <f aca="false">IFERROR(K9+J10,K9)</f>
        <v/>
      </c>
      <c r="L10" s="80"/>
    </row>
    <row r="11" customFormat="false" ht="18" hidden="false" customHeight="true" outlineLevel="0" collapsed="false">
      <c r="B11" s="82"/>
      <c r="C11" s="82"/>
      <c r="D11" s="82"/>
      <c r="E11" s="82"/>
      <c r="F11" s="82"/>
      <c r="G11" s="82"/>
      <c r="H11" s="82"/>
      <c r="I11" s="82"/>
      <c r="J11" s="83" t="str">
        <f aca="false">IF(I11="승",G11*(F11-1),IF(I11="패",-G11,""))</f>
        <v/>
      </c>
      <c r="K11" s="83" t="str">
        <f aca="false">IFERROR(K10+J11,K10)</f>
        <v/>
      </c>
      <c r="L11" s="82"/>
    </row>
    <row r="12" customFormat="false" ht="18" hidden="false" customHeight="true" outlineLevel="0" collapsed="false">
      <c r="B12" s="80"/>
      <c r="C12" s="80"/>
      <c r="D12" s="80"/>
      <c r="E12" s="80"/>
      <c r="F12" s="80"/>
      <c r="G12" s="80"/>
      <c r="H12" s="80"/>
      <c r="I12" s="80"/>
      <c r="J12" s="81" t="str">
        <f aca="false">IF(I12="승",G12*(F12-1),IF(I12="패",-G12,""))</f>
        <v/>
      </c>
      <c r="K12" s="81" t="str">
        <f aca="false">IFERROR(K11+J12,K11)</f>
        <v/>
      </c>
      <c r="L12" s="80"/>
    </row>
    <row r="13" customFormat="false" ht="18" hidden="false" customHeight="true" outlineLevel="0" collapsed="false">
      <c r="B13" s="82"/>
      <c r="C13" s="82"/>
      <c r="D13" s="82"/>
      <c r="E13" s="82"/>
      <c r="F13" s="82"/>
      <c r="G13" s="82"/>
      <c r="H13" s="82"/>
      <c r="I13" s="82"/>
      <c r="J13" s="83" t="str">
        <f aca="false">IF(I13="승",G13*(F13-1),IF(I13="패",-G13,""))</f>
        <v/>
      </c>
      <c r="K13" s="83" t="str">
        <f aca="false">IFERROR(K12+J13,K12)</f>
        <v/>
      </c>
      <c r="L13" s="82"/>
    </row>
    <row r="14" customFormat="false" ht="18" hidden="false" customHeight="true" outlineLevel="0" collapsed="false">
      <c r="B14" s="80"/>
      <c r="C14" s="80"/>
      <c r="D14" s="80"/>
      <c r="E14" s="80"/>
      <c r="F14" s="80"/>
      <c r="G14" s="80"/>
      <c r="H14" s="80"/>
      <c r="I14" s="80"/>
      <c r="J14" s="81" t="str">
        <f aca="false">IF(I14="승",G14*(F14-1),IF(I14="패",-G14,""))</f>
        <v/>
      </c>
      <c r="K14" s="81" t="str">
        <f aca="false">IFERROR(K13+J14,K13)</f>
        <v/>
      </c>
      <c r="L14" s="80"/>
    </row>
    <row r="15" customFormat="false" ht="18" hidden="false" customHeight="true" outlineLevel="0" collapsed="false">
      <c r="B15" s="82"/>
      <c r="C15" s="82"/>
      <c r="D15" s="82"/>
      <c r="E15" s="82"/>
      <c r="F15" s="82"/>
      <c r="G15" s="82"/>
      <c r="H15" s="82"/>
      <c r="I15" s="82"/>
      <c r="J15" s="83" t="str">
        <f aca="false">IF(I15="승",G15*(F15-1),IF(I15="패",-G15,""))</f>
        <v/>
      </c>
      <c r="K15" s="83" t="str">
        <f aca="false">IFERROR(K14+J15,K14)</f>
        <v/>
      </c>
      <c r="L15" s="82"/>
    </row>
    <row r="16" customFormat="false" ht="18" hidden="false" customHeight="true" outlineLevel="0" collapsed="false">
      <c r="B16" s="80"/>
      <c r="C16" s="80"/>
      <c r="D16" s="80"/>
      <c r="E16" s="80"/>
      <c r="F16" s="80"/>
      <c r="G16" s="80"/>
      <c r="H16" s="80"/>
      <c r="I16" s="80"/>
      <c r="J16" s="81" t="str">
        <f aca="false">IF(I16="승",G16*(F16-1),IF(I16="패",-G16,""))</f>
        <v/>
      </c>
      <c r="K16" s="81" t="str">
        <f aca="false">IFERROR(K15+J16,K15)</f>
        <v/>
      </c>
      <c r="L16" s="80"/>
    </row>
    <row r="17" customFormat="false" ht="18" hidden="false" customHeight="true" outlineLevel="0" collapsed="false">
      <c r="B17" s="82"/>
      <c r="C17" s="82"/>
      <c r="D17" s="82"/>
      <c r="E17" s="82"/>
      <c r="F17" s="82"/>
      <c r="G17" s="82"/>
      <c r="H17" s="82"/>
      <c r="I17" s="82"/>
      <c r="J17" s="83" t="str">
        <f aca="false">IF(I17="승",G17*(F17-1),IF(I17="패",-G17,""))</f>
        <v/>
      </c>
      <c r="K17" s="83" t="str">
        <f aca="false">IFERROR(K16+J17,K16)</f>
        <v/>
      </c>
      <c r="L17" s="82"/>
    </row>
    <row r="18" customFormat="false" ht="18" hidden="false" customHeight="true" outlineLevel="0" collapsed="false">
      <c r="B18" s="80"/>
      <c r="C18" s="80"/>
      <c r="D18" s="80"/>
      <c r="E18" s="80"/>
      <c r="F18" s="80"/>
      <c r="G18" s="80"/>
      <c r="H18" s="80"/>
      <c r="I18" s="80"/>
      <c r="J18" s="81" t="str">
        <f aca="false">IF(I18="승",G18*(F18-1),IF(I18="패",-G18,""))</f>
        <v/>
      </c>
      <c r="K18" s="81" t="str">
        <f aca="false">IFERROR(K17+J18,K17)</f>
        <v/>
      </c>
      <c r="L18" s="80"/>
    </row>
    <row r="19" customFormat="false" ht="18" hidden="false" customHeight="true" outlineLevel="0" collapsed="false">
      <c r="B19" s="82"/>
      <c r="C19" s="82"/>
      <c r="D19" s="82"/>
      <c r="E19" s="82"/>
      <c r="F19" s="82"/>
      <c r="G19" s="82"/>
      <c r="H19" s="82"/>
      <c r="I19" s="82"/>
      <c r="J19" s="83" t="str">
        <f aca="false">IF(I19="승",G19*(F19-1),IF(I19="패",-G19,""))</f>
        <v/>
      </c>
      <c r="K19" s="83" t="str">
        <f aca="false">IFERROR(K18+J19,K18)</f>
        <v/>
      </c>
      <c r="L19" s="82"/>
    </row>
    <row r="20" customFormat="false" ht="18" hidden="false" customHeight="true" outlineLevel="0" collapsed="false">
      <c r="B20" s="80"/>
      <c r="C20" s="80"/>
      <c r="D20" s="80"/>
      <c r="E20" s="80"/>
      <c r="F20" s="80"/>
      <c r="G20" s="80"/>
      <c r="H20" s="80"/>
      <c r="I20" s="80"/>
      <c r="J20" s="81" t="str">
        <f aca="false">IF(I20="승",G20*(F20-1),IF(I20="패",-G20,""))</f>
        <v/>
      </c>
      <c r="K20" s="81" t="str">
        <f aca="false">IFERROR(K19+J20,K19)</f>
        <v/>
      </c>
      <c r="L20" s="80"/>
    </row>
    <row r="21" customFormat="false" ht="18" hidden="false" customHeight="true" outlineLevel="0" collapsed="false">
      <c r="B21" s="82"/>
      <c r="C21" s="82"/>
      <c r="D21" s="82"/>
      <c r="E21" s="82"/>
      <c r="F21" s="82"/>
      <c r="G21" s="82"/>
      <c r="H21" s="82"/>
      <c r="I21" s="82"/>
      <c r="J21" s="83" t="str">
        <f aca="false">IF(I21="승",G21*(F21-1),IF(I21="패",-G21,""))</f>
        <v/>
      </c>
      <c r="K21" s="83" t="str">
        <f aca="false">IFERROR(K20+J21,K20)</f>
        <v/>
      </c>
      <c r="L21" s="82"/>
    </row>
    <row r="22" customFormat="false" ht="18" hidden="false" customHeight="true" outlineLevel="0" collapsed="false">
      <c r="B22" s="80"/>
      <c r="C22" s="80"/>
      <c r="D22" s="80"/>
      <c r="E22" s="80"/>
      <c r="F22" s="80"/>
      <c r="G22" s="80"/>
      <c r="H22" s="80"/>
      <c r="I22" s="80"/>
      <c r="J22" s="81" t="str">
        <f aca="false">IF(I22="승",G22*(F22-1),IF(I22="패",-G22,""))</f>
        <v/>
      </c>
      <c r="K22" s="81" t="str">
        <f aca="false">IFERROR(K21+J22,K21)</f>
        <v/>
      </c>
      <c r="L22" s="80"/>
    </row>
    <row r="23" customFormat="false" ht="18" hidden="false" customHeight="true" outlineLevel="0" collapsed="false">
      <c r="B23" s="82"/>
      <c r="C23" s="82"/>
      <c r="D23" s="82"/>
      <c r="E23" s="82"/>
      <c r="F23" s="82"/>
      <c r="G23" s="82"/>
      <c r="H23" s="82"/>
      <c r="I23" s="82"/>
      <c r="J23" s="83" t="str">
        <f aca="false">IF(I23="승",G23*(F23-1),IF(I23="패",-G23,""))</f>
        <v/>
      </c>
      <c r="K23" s="83" t="str">
        <f aca="false">IFERROR(K22+J23,K22)</f>
        <v/>
      </c>
      <c r="L23" s="82"/>
    </row>
    <row r="24" customFormat="false" ht="18" hidden="false" customHeight="true" outlineLevel="0" collapsed="false">
      <c r="B24" s="80"/>
      <c r="C24" s="80"/>
      <c r="D24" s="80"/>
      <c r="E24" s="80"/>
      <c r="F24" s="80"/>
      <c r="G24" s="80"/>
      <c r="H24" s="80"/>
      <c r="I24" s="80"/>
      <c r="J24" s="81" t="str">
        <f aca="false">IF(I24="승",G24*(F24-1),IF(I24="패",-G24,""))</f>
        <v/>
      </c>
      <c r="K24" s="81" t="str">
        <f aca="false">IFERROR(K23+J24,K23)</f>
        <v/>
      </c>
      <c r="L24" s="80"/>
    </row>
    <row r="25" customFormat="false" ht="18" hidden="false" customHeight="true" outlineLevel="0" collapsed="false">
      <c r="B25" s="82"/>
      <c r="C25" s="82"/>
      <c r="D25" s="82"/>
      <c r="E25" s="82"/>
      <c r="F25" s="82"/>
      <c r="G25" s="82"/>
      <c r="H25" s="82"/>
      <c r="I25" s="82"/>
      <c r="J25" s="83" t="str">
        <f aca="false">IF(I25="승",G25*(F25-1),IF(I25="패",-G25,""))</f>
        <v/>
      </c>
      <c r="K25" s="83" t="str">
        <f aca="false">IFERROR(K24+J25,K24)</f>
        <v/>
      </c>
      <c r="L25" s="82"/>
    </row>
    <row r="26" customFormat="false" ht="18" hidden="false" customHeight="true" outlineLevel="0" collapsed="false">
      <c r="B26" s="80"/>
      <c r="C26" s="80"/>
      <c r="D26" s="80"/>
      <c r="E26" s="80"/>
      <c r="F26" s="80"/>
      <c r="G26" s="80"/>
      <c r="H26" s="80"/>
      <c r="I26" s="80"/>
      <c r="J26" s="81" t="str">
        <f aca="false">IF(I26="승",G26*(F26-1),IF(I26="패",-G26,""))</f>
        <v/>
      </c>
      <c r="K26" s="81" t="str">
        <f aca="false">IFERROR(K25+J26,K25)</f>
        <v/>
      </c>
      <c r="L26" s="80"/>
    </row>
    <row r="27" customFormat="false" ht="18" hidden="false" customHeight="true" outlineLevel="0" collapsed="false">
      <c r="B27" s="82"/>
      <c r="C27" s="82"/>
      <c r="D27" s="82"/>
      <c r="E27" s="82"/>
      <c r="F27" s="82"/>
      <c r="G27" s="82"/>
      <c r="H27" s="82"/>
      <c r="I27" s="82"/>
      <c r="J27" s="83" t="str">
        <f aca="false">IF(I27="승",G27*(F27-1),IF(I27="패",-G27,""))</f>
        <v/>
      </c>
      <c r="K27" s="83" t="str">
        <f aca="false">IFERROR(K26+J27,K26)</f>
        <v/>
      </c>
      <c r="L27" s="82"/>
    </row>
    <row r="28" customFormat="false" ht="18" hidden="false" customHeight="true" outlineLevel="0" collapsed="false">
      <c r="B28" s="80"/>
      <c r="C28" s="80"/>
      <c r="D28" s="80"/>
      <c r="E28" s="80"/>
      <c r="F28" s="80"/>
      <c r="G28" s="80"/>
      <c r="H28" s="80"/>
      <c r="I28" s="80"/>
      <c r="J28" s="81" t="str">
        <f aca="false">IF(I28="승",G28*(F28-1),IF(I28="패",-G28,""))</f>
        <v/>
      </c>
      <c r="K28" s="81" t="str">
        <f aca="false">IFERROR(K27+J28,K27)</f>
        <v/>
      </c>
      <c r="L28" s="80"/>
    </row>
    <row r="29" customFormat="false" ht="18" hidden="false" customHeight="true" outlineLevel="0" collapsed="false">
      <c r="B29" s="82"/>
      <c r="C29" s="82"/>
      <c r="D29" s="82"/>
      <c r="E29" s="82"/>
      <c r="F29" s="82"/>
      <c r="G29" s="82"/>
      <c r="H29" s="82"/>
      <c r="I29" s="82"/>
      <c r="J29" s="83" t="str">
        <f aca="false">IF(I29="승",G29*(F29-1),IF(I29="패",-G29,""))</f>
        <v/>
      </c>
      <c r="K29" s="83" t="str">
        <f aca="false">IFERROR(K28+J29,K28)</f>
        <v/>
      </c>
      <c r="L29" s="82"/>
    </row>
    <row r="30" customFormat="false" ht="18" hidden="false" customHeight="true" outlineLevel="0" collapsed="false">
      <c r="B30" s="80"/>
      <c r="C30" s="80"/>
      <c r="D30" s="80"/>
      <c r="E30" s="80"/>
      <c r="F30" s="80"/>
      <c r="G30" s="80"/>
      <c r="H30" s="80"/>
      <c r="I30" s="80"/>
      <c r="J30" s="81" t="str">
        <f aca="false">IF(I30="승",G30*(F30-1),IF(I30="패",-G30,""))</f>
        <v/>
      </c>
      <c r="K30" s="81" t="str">
        <f aca="false">IFERROR(K29+J30,K29)</f>
        <v/>
      </c>
      <c r="L30" s="80"/>
    </row>
    <row r="31" customFormat="false" ht="18" hidden="false" customHeight="true" outlineLevel="0" collapsed="false">
      <c r="B31" s="82"/>
      <c r="C31" s="82"/>
      <c r="D31" s="82"/>
      <c r="E31" s="82"/>
      <c r="F31" s="82"/>
      <c r="G31" s="82"/>
      <c r="H31" s="82"/>
      <c r="I31" s="82"/>
      <c r="J31" s="83" t="str">
        <f aca="false">IF(I31="승",G31*(F31-1),IF(I31="패",-G31,""))</f>
        <v/>
      </c>
      <c r="K31" s="83" t="str">
        <f aca="false">IFERROR(K30+J31,K30)</f>
        <v/>
      </c>
      <c r="L31" s="82"/>
    </row>
    <row r="32" customFormat="false" ht="18" hidden="false" customHeight="true" outlineLevel="0" collapsed="false">
      <c r="B32" s="80"/>
      <c r="C32" s="80"/>
      <c r="D32" s="80"/>
      <c r="E32" s="80"/>
      <c r="F32" s="80"/>
      <c r="G32" s="80"/>
      <c r="H32" s="80"/>
      <c r="I32" s="80"/>
      <c r="J32" s="81" t="str">
        <f aca="false">IF(I32="승",G32*(F32-1),IF(I32="패",-G32,""))</f>
        <v/>
      </c>
      <c r="K32" s="81" t="str">
        <f aca="false">IFERROR(K31+J32,K31)</f>
        <v/>
      </c>
      <c r="L32" s="80"/>
    </row>
    <row r="33" customFormat="false" ht="18" hidden="false" customHeight="true" outlineLevel="0" collapsed="false">
      <c r="B33" s="82"/>
      <c r="C33" s="82"/>
      <c r="D33" s="82"/>
      <c r="E33" s="82"/>
      <c r="F33" s="82"/>
      <c r="G33" s="82"/>
      <c r="H33" s="82"/>
      <c r="I33" s="82"/>
      <c r="J33" s="83" t="str">
        <f aca="false">IF(I33="승",G33*(F33-1),IF(I33="패",-G33,""))</f>
        <v/>
      </c>
      <c r="K33" s="83" t="str">
        <f aca="false">IFERROR(K32+J33,K32)</f>
        <v/>
      </c>
      <c r="L33" s="82"/>
    </row>
    <row r="34" customFormat="false" ht="18" hidden="false" customHeight="true" outlineLevel="0" collapsed="false">
      <c r="B34" s="80"/>
      <c r="C34" s="80"/>
      <c r="D34" s="80"/>
      <c r="E34" s="80"/>
      <c r="F34" s="80"/>
      <c r="G34" s="80"/>
      <c r="H34" s="80"/>
      <c r="I34" s="80"/>
      <c r="J34" s="81" t="str">
        <f aca="false">IF(I34="승",G34*(F34-1),IF(I34="패",-G34,""))</f>
        <v/>
      </c>
      <c r="K34" s="81" t="str">
        <f aca="false">IFERROR(K33+J34,K33)</f>
        <v/>
      </c>
      <c r="L34" s="80"/>
    </row>
    <row r="35" customFormat="false" ht="18" hidden="false" customHeight="true" outlineLevel="0" collapsed="false">
      <c r="B35" s="82"/>
      <c r="C35" s="82"/>
      <c r="D35" s="82"/>
      <c r="E35" s="82"/>
      <c r="F35" s="82"/>
      <c r="G35" s="82"/>
      <c r="H35" s="82"/>
      <c r="I35" s="82"/>
      <c r="J35" s="83" t="str">
        <f aca="false">IF(I35="승",G35*(F35-1),IF(I35="패",-G35,""))</f>
        <v/>
      </c>
      <c r="K35" s="83" t="str">
        <f aca="false">IFERROR(K34+J35,K34)</f>
        <v/>
      </c>
      <c r="L35" s="82"/>
    </row>
    <row r="36" customFormat="false" ht="18" hidden="false" customHeight="true" outlineLevel="0" collapsed="false">
      <c r="B36" s="80"/>
      <c r="C36" s="80"/>
      <c r="D36" s="80"/>
      <c r="E36" s="80"/>
      <c r="F36" s="80"/>
      <c r="G36" s="80"/>
      <c r="H36" s="80"/>
      <c r="I36" s="80"/>
      <c r="J36" s="81" t="str">
        <f aca="false">IF(I36="승",G36*(F36-1),IF(I36="패",-G36,""))</f>
        <v/>
      </c>
      <c r="K36" s="81" t="str">
        <f aca="false">IFERROR(K35+J36,K35)</f>
        <v/>
      </c>
      <c r="L36" s="80"/>
    </row>
    <row r="37" customFormat="false" ht="18" hidden="false" customHeight="true" outlineLevel="0" collapsed="false">
      <c r="B37" s="82"/>
      <c r="C37" s="82"/>
      <c r="D37" s="82"/>
      <c r="E37" s="82"/>
      <c r="F37" s="82"/>
      <c r="G37" s="82"/>
      <c r="H37" s="82"/>
      <c r="I37" s="82"/>
      <c r="J37" s="83" t="str">
        <f aca="false">IF(I37="승",G37*(F37-1),IF(I37="패",-G37,""))</f>
        <v/>
      </c>
      <c r="K37" s="83" t="str">
        <f aca="false">IFERROR(K36+J37,K36)</f>
        <v/>
      </c>
      <c r="L37" s="82"/>
    </row>
    <row r="38" customFormat="false" ht="18" hidden="false" customHeight="true" outlineLevel="0" collapsed="false">
      <c r="B38" s="80"/>
      <c r="C38" s="80"/>
      <c r="D38" s="80"/>
      <c r="E38" s="80"/>
      <c r="F38" s="80"/>
      <c r="G38" s="80"/>
      <c r="H38" s="80"/>
      <c r="I38" s="80"/>
      <c r="J38" s="81" t="str">
        <f aca="false">IF(I38="승",G38*(F38-1),IF(I38="패",-G38,""))</f>
        <v/>
      </c>
      <c r="K38" s="81" t="str">
        <f aca="false">IFERROR(K37+J38,K37)</f>
        <v/>
      </c>
      <c r="L38" s="80"/>
    </row>
    <row r="39" customFormat="false" ht="18" hidden="false" customHeight="true" outlineLevel="0" collapsed="false">
      <c r="B39" s="82"/>
      <c r="C39" s="82"/>
      <c r="D39" s="82"/>
      <c r="E39" s="82"/>
      <c r="F39" s="82"/>
      <c r="G39" s="82"/>
      <c r="H39" s="82"/>
      <c r="I39" s="82"/>
      <c r="J39" s="83" t="str">
        <f aca="false">IF(I39="승",G39*(F39-1),IF(I39="패",-G39,""))</f>
        <v/>
      </c>
      <c r="K39" s="83" t="str">
        <f aca="false">IFERROR(K38+J39,K38)</f>
        <v/>
      </c>
      <c r="L39" s="82"/>
    </row>
    <row r="40" customFormat="false" ht="18" hidden="false" customHeight="true" outlineLevel="0" collapsed="false">
      <c r="B40" s="80"/>
      <c r="C40" s="80"/>
      <c r="D40" s="80"/>
      <c r="E40" s="80"/>
      <c r="F40" s="80"/>
      <c r="G40" s="80"/>
      <c r="H40" s="80"/>
      <c r="I40" s="80"/>
      <c r="J40" s="81" t="str">
        <f aca="false">IF(I40="승",G40*(F40-1),IF(I40="패",-G40,""))</f>
        <v/>
      </c>
      <c r="K40" s="81" t="str">
        <f aca="false">IFERROR(K39+J40,K39)</f>
        <v/>
      </c>
      <c r="L40" s="80"/>
    </row>
    <row r="41" customFormat="false" ht="18" hidden="false" customHeight="true" outlineLevel="0" collapsed="false">
      <c r="B41" s="82"/>
      <c r="C41" s="82"/>
      <c r="D41" s="82"/>
      <c r="E41" s="82"/>
      <c r="F41" s="82"/>
      <c r="G41" s="82"/>
      <c r="H41" s="82"/>
      <c r="I41" s="82"/>
      <c r="J41" s="83" t="str">
        <f aca="false">IF(I41="승",G41*(F41-1),IF(I41="패",-G41,""))</f>
        <v/>
      </c>
      <c r="K41" s="83" t="str">
        <f aca="false">IFERROR(K40+J41,K40)</f>
        <v/>
      </c>
      <c r="L41" s="82"/>
    </row>
    <row r="42" customFormat="false" ht="18" hidden="false" customHeight="true" outlineLevel="0" collapsed="false">
      <c r="B42" s="80"/>
      <c r="C42" s="80"/>
      <c r="D42" s="80"/>
      <c r="E42" s="80"/>
      <c r="F42" s="80"/>
      <c r="G42" s="80"/>
      <c r="H42" s="80"/>
      <c r="I42" s="80"/>
      <c r="J42" s="81" t="str">
        <f aca="false">IF(I42="승",G42*(F42-1),IF(I42="패",-G42,""))</f>
        <v/>
      </c>
      <c r="K42" s="81" t="str">
        <f aca="false">IFERROR(K41+J42,K41)</f>
        <v/>
      </c>
      <c r="L42" s="80"/>
    </row>
    <row r="43" customFormat="false" ht="18" hidden="false" customHeight="true" outlineLevel="0" collapsed="false">
      <c r="B43" s="82"/>
      <c r="C43" s="82"/>
      <c r="D43" s="82"/>
      <c r="E43" s="82"/>
      <c r="F43" s="82"/>
      <c r="G43" s="82"/>
      <c r="H43" s="82"/>
      <c r="I43" s="82"/>
      <c r="J43" s="83" t="str">
        <f aca="false">IF(I43="승",G43*(F43-1),IF(I43="패",-G43,""))</f>
        <v/>
      </c>
      <c r="K43" s="83" t="str">
        <f aca="false">IFERROR(K42+J43,K42)</f>
        <v/>
      </c>
      <c r="L43" s="82"/>
    </row>
    <row r="44" customFormat="false" ht="18" hidden="false" customHeight="true" outlineLevel="0" collapsed="false">
      <c r="B44" s="80"/>
      <c r="C44" s="80"/>
      <c r="D44" s="80"/>
      <c r="E44" s="80"/>
      <c r="F44" s="80"/>
      <c r="G44" s="80"/>
      <c r="H44" s="80"/>
      <c r="I44" s="80"/>
      <c r="J44" s="81" t="str">
        <f aca="false">IF(I44="승",G44*(F44-1),IF(I44="패",-G44,""))</f>
        <v/>
      </c>
      <c r="K44" s="81" t="str">
        <f aca="false">IFERROR(K43+J44,K43)</f>
        <v/>
      </c>
      <c r="L44" s="80"/>
    </row>
    <row r="45" customFormat="false" ht="18" hidden="false" customHeight="true" outlineLevel="0" collapsed="false">
      <c r="B45" s="82"/>
      <c r="C45" s="82"/>
      <c r="D45" s="82"/>
      <c r="E45" s="82"/>
      <c r="F45" s="82"/>
      <c r="G45" s="82"/>
      <c r="H45" s="82"/>
      <c r="I45" s="82"/>
      <c r="J45" s="83" t="str">
        <f aca="false">IF(I45="승",G45*(F45-1),IF(I45="패",-G45,""))</f>
        <v/>
      </c>
      <c r="K45" s="83" t="str">
        <f aca="false">IFERROR(K44+J45,K44)</f>
        <v/>
      </c>
      <c r="L45" s="82"/>
    </row>
    <row r="46" customFormat="false" ht="18" hidden="false" customHeight="true" outlineLevel="0" collapsed="false">
      <c r="B46" s="80"/>
      <c r="C46" s="80"/>
      <c r="D46" s="80"/>
      <c r="E46" s="80"/>
      <c r="F46" s="80"/>
      <c r="G46" s="80"/>
      <c r="H46" s="80"/>
      <c r="I46" s="80"/>
      <c r="J46" s="81" t="str">
        <f aca="false">IF(I46="승",G46*(F46-1),IF(I46="패",-G46,""))</f>
        <v/>
      </c>
      <c r="K46" s="81" t="str">
        <f aca="false">IFERROR(K45+J46,K45)</f>
        <v/>
      </c>
      <c r="L46" s="80"/>
    </row>
    <row r="47" customFormat="false" ht="18" hidden="false" customHeight="true" outlineLevel="0" collapsed="false">
      <c r="B47" s="82"/>
      <c r="C47" s="82"/>
      <c r="D47" s="82"/>
      <c r="E47" s="82"/>
      <c r="F47" s="82"/>
      <c r="G47" s="82"/>
      <c r="H47" s="82"/>
      <c r="I47" s="82"/>
      <c r="J47" s="83" t="str">
        <f aca="false">IF(I47="승",G47*(F47-1),IF(I47="패",-G47,""))</f>
        <v/>
      </c>
      <c r="K47" s="83" t="str">
        <f aca="false">IFERROR(K46+J47,K46)</f>
        <v/>
      </c>
      <c r="L47" s="82"/>
    </row>
    <row r="48" customFormat="false" ht="18" hidden="false" customHeight="true" outlineLevel="0" collapsed="false">
      <c r="B48" s="80"/>
      <c r="C48" s="80"/>
      <c r="D48" s="80"/>
      <c r="E48" s="80"/>
      <c r="F48" s="80"/>
      <c r="G48" s="80"/>
      <c r="H48" s="80"/>
      <c r="I48" s="80"/>
      <c r="J48" s="81" t="str">
        <f aca="false">IF(I48="승",G48*(F48-1),IF(I48="패",-G48,""))</f>
        <v/>
      </c>
      <c r="K48" s="81" t="str">
        <f aca="false">IFERROR(K47+J48,K47)</f>
        <v/>
      </c>
      <c r="L48" s="80"/>
    </row>
    <row r="49" customFormat="false" ht="18" hidden="false" customHeight="true" outlineLevel="0" collapsed="false">
      <c r="B49" s="82"/>
      <c r="C49" s="82"/>
      <c r="D49" s="82"/>
      <c r="E49" s="82"/>
      <c r="F49" s="82"/>
      <c r="G49" s="82"/>
      <c r="H49" s="82"/>
      <c r="I49" s="82"/>
      <c r="J49" s="83" t="str">
        <f aca="false">IF(I49="승",G49*(F49-1),IF(I49="패",-G49,""))</f>
        <v/>
      </c>
      <c r="K49" s="83" t="str">
        <f aca="false">IFERROR(K48+J49,K48)</f>
        <v/>
      </c>
      <c r="L49" s="82"/>
    </row>
    <row r="50" customFormat="false" ht="18" hidden="false" customHeight="true" outlineLevel="0" collapsed="false">
      <c r="B50" s="80"/>
      <c r="C50" s="80"/>
      <c r="D50" s="80"/>
      <c r="E50" s="80"/>
      <c r="F50" s="80"/>
      <c r="G50" s="80"/>
      <c r="H50" s="80"/>
      <c r="I50" s="80"/>
      <c r="J50" s="81" t="str">
        <f aca="false">IF(I50="승",G50*(F50-1),IF(I50="패",-G50,""))</f>
        <v/>
      </c>
      <c r="K50" s="81" t="str">
        <f aca="false">IFERROR(K49+J50,K49)</f>
        <v/>
      </c>
      <c r="L50" s="80"/>
    </row>
    <row r="51" customFormat="false" ht="18" hidden="false" customHeight="true" outlineLevel="0" collapsed="false">
      <c r="B51" s="82"/>
      <c r="C51" s="82"/>
      <c r="D51" s="82"/>
      <c r="E51" s="82"/>
      <c r="F51" s="82"/>
      <c r="G51" s="82"/>
      <c r="H51" s="82"/>
      <c r="I51" s="82"/>
      <c r="J51" s="83" t="str">
        <f aca="false">IF(I51="승",G51*(F51-1),IF(I51="패",-G51,""))</f>
        <v/>
      </c>
      <c r="K51" s="83" t="str">
        <f aca="false">IFERROR(K50+J51,K50)</f>
        <v/>
      </c>
      <c r="L51" s="82"/>
    </row>
    <row r="52" customFormat="false" ht="18" hidden="false" customHeight="true" outlineLevel="0" collapsed="false">
      <c r="B52" s="80"/>
      <c r="C52" s="80"/>
      <c r="D52" s="80"/>
      <c r="E52" s="80"/>
      <c r="F52" s="80"/>
      <c r="G52" s="80"/>
      <c r="H52" s="80"/>
      <c r="I52" s="80"/>
      <c r="J52" s="81" t="str">
        <f aca="false">IF(I52="승",G52*(F52-1),IF(I52="패",-G52,""))</f>
        <v/>
      </c>
      <c r="K52" s="81" t="str">
        <f aca="false">IFERROR(K51+J52,K51)</f>
        <v/>
      </c>
      <c r="L52" s="80"/>
    </row>
    <row r="53" customFormat="false" ht="18" hidden="false" customHeight="true" outlineLevel="0" collapsed="false">
      <c r="B53" s="82"/>
      <c r="C53" s="82"/>
      <c r="D53" s="82"/>
      <c r="E53" s="82"/>
      <c r="F53" s="82"/>
      <c r="G53" s="82"/>
      <c r="H53" s="82"/>
      <c r="I53" s="82"/>
      <c r="J53" s="83" t="str">
        <f aca="false">IF(I53="승",G53*(F53-1),IF(I53="패",-G53,""))</f>
        <v/>
      </c>
      <c r="K53" s="83" t="str">
        <f aca="false">IFERROR(K52+J53,K52)</f>
        <v/>
      </c>
      <c r="L53" s="82"/>
    </row>
    <row r="54" customFormat="false" ht="18" hidden="false" customHeight="true" outlineLevel="0" collapsed="false">
      <c r="B54" s="80"/>
      <c r="C54" s="80"/>
      <c r="D54" s="80"/>
      <c r="E54" s="80"/>
      <c r="F54" s="80"/>
      <c r="G54" s="80"/>
      <c r="H54" s="80"/>
      <c r="I54" s="80"/>
      <c r="J54" s="81" t="str">
        <f aca="false">IF(I54="승",G54*(F54-1),IF(I54="패",-G54,""))</f>
        <v/>
      </c>
      <c r="K54" s="81" t="str">
        <f aca="false">IFERROR(K53+J54,K53)</f>
        <v/>
      </c>
      <c r="L54" s="80"/>
    </row>
    <row r="55" customFormat="false" ht="18" hidden="false" customHeight="true" outlineLevel="0" collapsed="false">
      <c r="B55" s="82"/>
      <c r="C55" s="82"/>
      <c r="D55" s="82"/>
      <c r="E55" s="82"/>
      <c r="F55" s="82"/>
      <c r="G55" s="82"/>
      <c r="H55" s="82"/>
      <c r="I55" s="82"/>
      <c r="J55" s="83" t="str">
        <f aca="false">IF(I55="승",G55*(F55-1),IF(I55="패",-G55,""))</f>
        <v/>
      </c>
      <c r="K55" s="83" t="str">
        <f aca="false">IFERROR(K54+J55,K54)</f>
        <v/>
      </c>
      <c r="L55" s="82"/>
    </row>
    <row r="56" customFormat="false" ht="18" hidden="false" customHeight="true" outlineLevel="0" collapsed="false">
      <c r="B56" s="80"/>
      <c r="C56" s="80"/>
      <c r="D56" s="80"/>
      <c r="E56" s="80"/>
      <c r="F56" s="80"/>
      <c r="G56" s="80"/>
      <c r="H56" s="80"/>
      <c r="I56" s="80"/>
      <c r="J56" s="81" t="str">
        <f aca="false">IF(I56="승",G56*(F56-1),IF(I56="패",-G56,""))</f>
        <v/>
      </c>
      <c r="K56" s="81" t="str">
        <f aca="false">IFERROR(K55+J56,K55)</f>
        <v/>
      </c>
      <c r="L56" s="80"/>
    </row>
    <row r="57" customFormat="false" ht="18" hidden="false" customHeight="true" outlineLevel="0" collapsed="false">
      <c r="B57" s="82"/>
      <c r="C57" s="82"/>
      <c r="D57" s="82"/>
      <c r="E57" s="82"/>
      <c r="F57" s="82"/>
      <c r="G57" s="82"/>
      <c r="H57" s="82"/>
      <c r="I57" s="82"/>
      <c r="J57" s="83" t="str">
        <f aca="false">IF(I57="승",G57*(F57-1),IF(I57="패",-G57,""))</f>
        <v/>
      </c>
      <c r="K57" s="83" t="str">
        <f aca="false">IFERROR(K56+J57,K56)</f>
        <v/>
      </c>
      <c r="L57" s="82"/>
    </row>
    <row r="58" customFormat="false" ht="18" hidden="false" customHeight="true" outlineLevel="0" collapsed="false">
      <c r="B58" s="80"/>
      <c r="C58" s="80"/>
      <c r="D58" s="80"/>
      <c r="E58" s="80"/>
      <c r="F58" s="80"/>
      <c r="G58" s="80"/>
      <c r="H58" s="80"/>
      <c r="I58" s="80"/>
      <c r="J58" s="81" t="str">
        <f aca="false">IF(I58="승",G58*(F58-1),IF(I58="패",-G58,""))</f>
        <v/>
      </c>
      <c r="K58" s="81" t="str">
        <f aca="false">IFERROR(K57+J58,K57)</f>
        <v/>
      </c>
      <c r="L58" s="80"/>
    </row>
    <row r="59" customFormat="false" ht="18" hidden="false" customHeight="true" outlineLevel="0" collapsed="false">
      <c r="B59" s="82"/>
      <c r="C59" s="82"/>
      <c r="D59" s="82"/>
      <c r="E59" s="82"/>
      <c r="F59" s="82"/>
      <c r="G59" s="82"/>
      <c r="H59" s="82"/>
      <c r="I59" s="82"/>
      <c r="J59" s="83" t="str">
        <f aca="false">IF(I59="승",G59*(F59-1),IF(I59="패",-G59,""))</f>
        <v/>
      </c>
      <c r="K59" s="83" t="str">
        <f aca="false">IFERROR(K58+J59,K58)</f>
        <v/>
      </c>
      <c r="L59" s="82"/>
    </row>
    <row r="60" customFormat="false" ht="18" hidden="false" customHeight="true" outlineLevel="0" collapsed="false">
      <c r="B60" s="80"/>
      <c r="C60" s="80"/>
      <c r="D60" s="80"/>
      <c r="E60" s="80"/>
      <c r="F60" s="80"/>
      <c r="G60" s="80"/>
      <c r="H60" s="80"/>
      <c r="I60" s="80"/>
      <c r="J60" s="81" t="str">
        <f aca="false">IF(I60="승",G60*(F60-1),IF(I60="패",-G60,""))</f>
        <v/>
      </c>
      <c r="K60" s="81" t="str">
        <f aca="false">IFERROR(K59+J60,K59)</f>
        <v/>
      </c>
      <c r="L60" s="80"/>
    </row>
    <row r="61" customFormat="false" ht="18" hidden="false" customHeight="true" outlineLevel="0" collapsed="false">
      <c r="B61" s="82"/>
      <c r="C61" s="82"/>
      <c r="D61" s="82"/>
      <c r="E61" s="82"/>
      <c r="F61" s="82"/>
      <c r="G61" s="82"/>
      <c r="H61" s="82"/>
      <c r="I61" s="82"/>
      <c r="J61" s="83" t="str">
        <f aca="false">IF(I61="승",G61*(F61-1),IF(I61="패",-G61,""))</f>
        <v/>
      </c>
      <c r="K61" s="83" t="str">
        <f aca="false">IFERROR(K60+J61,K60)</f>
        <v/>
      </c>
      <c r="L61" s="82"/>
    </row>
    <row r="62" customFormat="false" ht="18" hidden="false" customHeight="true" outlineLevel="0" collapsed="false">
      <c r="B62" s="80"/>
      <c r="C62" s="80"/>
      <c r="D62" s="80"/>
      <c r="E62" s="80"/>
      <c r="F62" s="80"/>
      <c r="G62" s="80"/>
      <c r="H62" s="80"/>
      <c r="I62" s="80"/>
      <c r="J62" s="81" t="str">
        <f aca="false">IF(I62="승",G62*(F62-1),IF(I62="패",-G62,""))</f>
        <v/>
      </c>
      <c r="K62" s="81" t="str">
        <f aca="false">IFERROR(K61+J62,K61)</f>
        <v/>
      </c>
      <c r="L62" s="80"/>
    </row>
    <row r="63" customFormat="false" ht="18" hidden="false" customHeight="true" outlineLevel="0" collapsed="false">
      <c r="B63" s="82"/>
      <c r="C63" s="82"/>
      <c r="D63" s="82"/>
      <c r="E63" s="82"/>
      <c r="F63" s="82"/>
      <c r="G63" s="82"/>
      <c r="H63" s="82"/>
      <c r="I63" s="82"/>
      <c r="J63" s="83" t="str">
        <f aca="false">IF(I63="승",G63*(F63-1),IF(I63="패",-G63,""))</f>
        <v/>
      </c>
      <c r="K63" s="83" t="str">
        <f aca="false">IFERROR(K62+J63,K62)</f>
        <v/>
      </c>
      <c r="L63" s="82"/>
    </row>
    <row r="64" customFormat="false" ht="18" hidden="false" customHeight="true" outlineLevel="0" collapsed="false">
      <c r="B64" s="80"/>
      <c r="C64" s="80"/>
      <c r="D64" s="80"/>
      <c r="E64" s="80"/>
      <c r="F64" s="80"/>
      <c r="G64" s="80"/>
      <c r="H64" s="80"/>
      <c r="I64" s="80"/>
      <c r="J64" s="81" t="str">
        <f aca="false">IF(I64="승",G64*(F64-1),IF(I64="패",-G64,""))</f>
        <v/>
      </c>
      <c r="K64" s="81" t="str">
        <f aca="false">IFERROR(K63+J64,K63)</f>
        <v/>
      </c>
      <c r="L64" s="80"/>
    </row>
    <row r="65" customFormat="false" ht="18" hidden="false" customHeight="true" outlineLevel="0" collapsed="false">
      <c r="B65" s="82"/>
      <c r="C65" s="82"/>
      <c r="D65" s="82"/>
      <c r="E65" s="82"/>
      <c r="F65" s="82"/>
      <c r="G65" s="82"/>
      <c r="H65" s="82"/>
      <c r="I65" s="82"/>
      <c r="J65" s="83" t="str">
        <f aca="false">IF(I65="승",G65*(F65-1),IF(I65="패",-G65,""))</f>
        <v/>
      </c>
      <c r="K65" s="83" t="str">
        <f aca="false">IFERROR(K64+J65,K64)</f>
        <v/>
      </c>
      <c r="L65" s="82"/>
    </row>
    <row r="66" customFormat="false" ht="18" hidden="false" customHeight="true" outlineLevel="0" collapsed="false">
      <c r="B66" s="80"/>
      <c r="C66" s="80"/>
      <c r="D66" s="80"/>
      <c r="E66" s="80"/>
      <c r="F66" s="80"/>
      <c r="G66" s="80"/>
      <c r="H66" s="80"/>
      <c r="I66" s="80"/>
      <c r="J66" s="81" t="str">
        <f aca="false">IF(I66="승",G66*(F66-1),IF(I66="패",-G66,""))</f>
        <v/>
      </c>
      <c r="K66" s="81" t="str">
        <f aca="false">IFERROR(K65+J66,K65)</f>
        <v/>
      </c>
      <c r="L66" s="80"/>
    </row>
    <row r="67" customFormat="false" ht="18" hidden="false" customHeight="true" outlineLevel="0" collapsed="false">
      <c r="B67" s="82"/>
      <c r="C67" s="82"/>
      <c r="D67" s="82"/>
      <c r="E67" s="82"/>
      <c r="F67" s="82"/>
      <c r="G67" s="82"/>
      <c r="H67" s="82"/>
      <c r="I67" s="82"/>
      <c r="J67" s="83" t="str">
        <f aca="false">IF(I67="승",G67*(F67-1),IF(I67="패",-G67,""))</f>
        <v/>
      </c>
      <c r="K67" s="83" t="str">
        <f aca="false">IFERROR(K66+J67,K66)</f>
        <v/>
      </c>
      <c r="L67" s="82"/>
    </row>
    <row r="68" customFormat="false" ht="18" hidden="false" customHeight="true" outlineLevel="0" collapsed="false">
      <c r="B68" s="80"/>
      <c r="C68" s="80"/>
      <c r="D68" s="80"/>
      <c r="E68" s="80"/>
      <c r="F68" s="80"/>
      <c r="G68" s="80"/>
      <c r="H68" s="80"/>
      <c r="I68" s="80"/>
      <c r="J68" s="81" t="str">
        <f aca="false">IF(I68="승",G68*(F68-1),IF(I68="패",-G68,""))</f>
        <v/>
      </c>
      <c r="K68" s="81" t="str">
        <f aca="false">IFERROR(K67+J68,K67)</f>
        <v/>
      </c>
      <c r="L68" s="80"/>
    </row>
    <row r="69" customFormat="false" ht="18" hidden="false" customHeight="true" outlineLevel="0" collapsed="false">
      <c r="B69" s="82"/>
      <c r="C69" s="82"/>
      <c r="D69" s="82"/>
      <c r="E69" s="82"/>
      <c r="F69" s="82"/>
      <c r="G69" s="82"/>
      <c r="H69" s="82"/>
      <c r="I69" s="82"/>
      <c r="J69" s="83" t="str">
        <f aca="false">IF(I69="승",G69*(F69-1),IF(I69="패",-G69,""))</f>
        <v/>
      </c>
      <c r="K69" s="83" t="str">
        <f aca="false">IFERROR(K68+J69,K68)</f>
        <v/>
      </c>
      <c r="L69" s="82"/>
    </row>
    <row r="70" customFormat="false" ht="18" hidden="false" customHeight="true" outlineLevel="0" collapsed="false">
      <c r="B70" s="80"/>
      <c r="C70" s="80"/>
      <c r="D70" s="80"/>
      <c r="E70" s="80"/>
      <c r="F70" s="80"/>
      <c r="G70" s="80"/>
      <c r="H70" s="80"/>
      <c r="I70" s="80"/>
      <c r="J70" s="81" t="str">
        <f aca="false">IF(I70="승",G70*(F70-1),IF(I70="패",-G70,""))</f>
        <v/>
      </c>
      <c r="K70" s="81" t="str">
        <f aca="false">IFERROR(K69+J70,K69)</f>
        <v/>
      </c>
      <c r="L70" s="80"/>
    </row>
    <row r="71" customFormat="false" ht="18" hidden="false" customHeight="true" outlineLevel="0" collapsed="false">
      <c r="B71" s="82"/>
      <c r="C71" s="82"/>
      <c r="D71" s="82"/>
      <c r="E71" s="82"/>
      <c r="F71" s="82"/>
      <c r="G71" s="82"/>
      <c r="H71" s="82"/>
      <c r="I71" s="82"/>
      <c r="J71" s="83" t="str">
        <f aca="false">IF(I71="승",G71*(F71-1),IF(I71="패",-G71,""))</f>
        <v/>
      </c>
      <c r="K71" s="83" t="str">
        <f aca="false">IFERROR(K70+J71,K70)</f>
        <v/>
      </c>
      <c r="L71" s="82"/>
    </row>
    <row r="72" customFormat="false" ht="18" hidden="false" customHeight="true" outlineLevel="0" collapsed="false">
      <c r="B72" s="80"/>
      <c r="C72" s="80"/>
      <c r="D72" s="80"/>
      <c r="E72" s="80"/>
      <c r="F72" s="80"/>
      <c r="G72" s="80"/>
      <c r="H72" s="80"/>
      <c r="I72" s="80"/>
      <c r="J72" s="81" t="str">
        <f aca="false">IF(I72="승",G72*(F72-1),IF(I72="패",-G72,""))</f>
        <v/>
      </c>
      <c r="K72" s="81" t="str">
        <f aca="false">IFERROR(K71+J72,K71)</f>
        <v/>
      </c>
      <c r="L72" s="80"/>
    </row>
    <row r="73" customFormat="false" ht="18" hidden="false" customHeight="true" outlineLevel="0" collapsed="false">
      <c r="B73" s="82"/>
      <c r="C73" s="82"/>
      <c r="D73" s="82"/>
      <c r="E73" s="82"/>
      <c r="F73" s="82"/>
      <c r="G73" s="82"/>
      <c r="H73" s="82"/>
      <c r="I73" s="82"/>
      <c r="J73" s="83" t="str">
        <f aca="false">IF(I73="승",G73*(F73-1),IF(I73="패",-G73,""))</f>
        <v/>
      </c>
      <c r="K73" s="83" t="str">
        <f aca="false">IFERROR(K72+J73,K72)</f>
        <v/>
      </c>
      <c r="L73" s="82"/>
    </row>
    <row r="74" customFormat="false" ht="18" hidden="false" customHeight="true" outlineLevel="0" collapsed="false">
      <c r="B74" s="80"/>
      <c r="C74" s="80"/>
      <c r="D74" s="80"/>
      <c r="E74" s="80"/>
      <c r="F74" s="80"/>
      <c r="G74" s="80"/>
      <c r="H74" s="80"/>
      <c r="I74" s="80"/>
      <c r="J74" s="81" t="str">
        <f aca="false">IF(I74="승",G74*(F74-1),IF(I74="패",-G74,""))</f>
        <v/>
      </c>
      <c r="K74" s="81" t="str">
        <f aca="false">IFERROR(K73+J74,K73)</f>
        <v/>
      </c>
      <c r="L74" s="80"/>
    </row>
    <row r="75" customFormat="false" ht="18" hidden="false" customHeight="true" outlineLevel="0" collapsed="false">
      <c r="B75" s="82"/>
      <c r="C75" s="82"/>
      <c r="D75" s="82"/>
      <c r="E75" s="82"/>
      <c r="F75" s="82"/>
      <c r="G75" s="82"/>
      <c r="H75" s="82"/>
      <c r="I75" s="82"/>
      <c r="J75" s="83" t="str">
        <f aca="false">IF(I75="승",G75*(F75-1),IF(I75="패",-G75,""))</f>
        <v/>
      </c>
      <c r="K75" s="83" t="str">
        <f aca="false">IFERROR(K74+J75,K74)</f>
        <v/>
      </c>
      <c r="L75" s="82"/>
    </row>
    <row r="76" customFormat="false" ht="18" hidden="false" customHeight="true" outlineLevel="0" collapsed="false">
      <c r="B76" s="80"/>
      <c r="C76" s="80"/>
      <c r="D76" s="80"/>
      <c r="E76" s="80"/>
      <c r="F76" s="80"/>
      <c r="G76" s="80"/>
      <c r="H76" s="80"/>
      <c r="I76" s="80"/>
      <c r="J76" s="81" t="str">
        <f aca="false">IF(I76="승",G76*(F76-1),IF(I76="패",-G76,""))</f>
        <v/>
      </c>
      <c r="K76" s="81" t="str">
        <f aca="false">IFERROR(K75+J76,K75)</f>
        <v/>
      </c>
      <c r="L76" s="80"/>
    </row>
    <row r="77" customFormat="false" ht="18" hidden="false" customHeight="true" outlineLevel="0" collapsed="false">
      <c r="B77" s="82"/>
      <c r="C77" s="82"/>
      <c r="D77" s="82"/>
      <c r="E77" s="82"/>
      <c r="F77" s="82"/>
      <c r="G77" s="82"/>
      <c r="H77" s="82"/>
      <c r="I77" s="82"/>
      <c r="J77" s="83" t="str">
        <f aca="false">IF(I77="승",G77*(F77-1),IF(I77="패",-G77,""))</f>
        <v/>
      </c>
      <c r="K77" s="83" t="str">
        <f aca="false">IFERROR(K76+J77,K76)</f>
        <v/>
      </c>
      <c r="L77" s="82"/>
    </row>
    <row r="78" customFormat="false" ht="18" hidden="false" customHeight="true" outlineLevel="0" collapsed="false">
      <c r="B78" s="80"/>
      <c r="C78" s="80"/>
      <c r="D78" s="80"/>
      <c r="E78" s="80"/>
      <c r="F78" s="80"/>
      <c r="G78" s="80"/>
      <c r="H78" s="80"/>
      <c r="I78" s="80"/>
      <c r="J78" s="81" t="str">
        <f aca="false">IF(I78="승",G78*(F78-1),IF(I78="패",-G78,""))</f>
        <v/>
      </c>
      <c r="K78" s="81" t="str">
        <f aca="false">IFERROR(K77+J78,K77)</f>
        <v/>
      </c>
      <c r="L78" s="80"/>
    </row>
    <row r="79" customFormat="false" ht="18" hidden="false" customHeight="true" outlineLevel="0" collapsed="false">
      <c r="B79" s="82"/>
      <c r="C79" s="82"/>
      <c r="D79" s="82"/>
      <c r="E79" s="82"/>
      <c r="F79" s="82"/>
      <c r="G79" s="82"/>
      <c r="H79" s="82"/>
      <c r="I79" s="82"/>
      <c r="J79" s="83" t="str">
        <f aca="false">IF(I79="승",G79*(F79-1),IF(I79="패",-G79,""))</f>
        <v/>
      </c>
      <c r="K79" s="83" t="str">
        <f aca="false">IFERROR(K78+J79,K78)</f>
        <v/>
      </c>
      <c r="L79" s="82"/>
    </row>
    <row r="80" customFormat="false" ht="18" hidden="false" customHeight="true" outlineLevel="0" collapsed="false">
      <c r="B80" s="80"/>
      <c r="C80" s="80"/>
      <c r="D80" s="80"/>
      <c r="E80" s="80"/>
      <c r="F80" s="80"/>
      <c r="G80" s="80"/>
      <c r="H80" s="80"/>
      <c r="I80" s="80"/>
      <c r="J80" s="81" t="str">
        <f aca="false">IF(I80="승",G80*(F80-1),IF(I80="패",-G80,""))</f>
        <v/>
      </c>
      <c r="K80" s="81" t="str">
        <f aca="false">IFERROR(K79+J80,K79)</f>
        <v/>
      </c>
      <c r="L80" s="80"/>
    </row>
    <row r="81" customFormat="false" ht="18" hidden="false" customHeight="true" outlineLevel="0" collapsed="false">
      <c r="B81" s="82"/>
      <c r="C81" s="82"/>
      <c r="D81" s="82"/>
      <c r="E81" s="82"/>
      <c r="F81" s="82"/>
      <c r="G81" s="82"/>
      <c r="H81" s="82"/>
      <c r="I81" s="82"/>
      <c r="J81" s="83" t="str">
        <f aca="false">IF(I81="승",G81*(F81-1),IF(I81="패",-G81,""))</f>
        <v/>
      </c>
      <c r="K81" s="83" t="str">
        <f aca="false">IFERROR(K80+J81,K80)</f>
        <v/>
      </c>
      <c r="L81" s="82"/>
    </row>
    <row r="82" customFormat="false" ht="18" hidden="false" customHeight="true" outlineLevel="0" collapsed="false">
      <c r="B82" s="80"/>
      <c r="C82" s="80"/>
      <c r="D82" s="80"/>
      <c r="E82" s="80"/>
      <c r="F82" s="80"/>
      <c r="G82" s="80"/>
      <c r="H82" s="80"/>
      <c r="I82" s="80"/>
      <c r="J82" s="81" t="str">
        <f aca="false">IF(I82="승",G82*(F82-1),IF(I82="패",-G82,""))</f>
        <v/>
      </c>
      <c r="K82" s="81" t="str">
        <f aca="false">IFERROR(K81+J82,K81)</f>
        <v/>
      </c>
      <c r="L82" s="80"/>
    </row>
    <row r="83" customFormat="false" ht="18" hidden="false" customHeight="true" outlineLevel="0" collapsed="false">
      <c r="B83" s="82"/>
      <c r="C83" s="82"/>
      <c r="D83" s="82"/>
      <c r="E83" s="82"/>
      <c r="F83" s="82"/>
      <c r="G83" s="82"/>
      <c r="H83" s="82"/>
      <c r="I83" s="82"/>
      <c r="J83" s="83" t="str">
        <f aca="false">IF(I83="승",G83*(F83-1),IF(I83="패",-G83,""))</f>
        <v/>
      </c>
      <c r="K83" s="83" t="str">
        <f aca="false">IFERROR(K82+J83,K82)</f>
        <v/>
      </c>
      <c r="L83" s="82"/>
    </row>
    <row r="84" customFormat="false" ht="18" hidden="false" customHeight="true" outlineLevel="0" collapsed="false">
      <c r="B84" s="80"/>
      <c r="C84" s="80"/>
      <c r="D84" s="80"/>
      <c r="E84" s="80"/>
      <c r="F84" s="80"/>
      <c r="G84" s="80"/>
      <c r="H84" s="80"/>
      <c r="I84" s="80"/>
      <c r="J84" s="81" t="str">
        <f aca="false">IF(I84="승",G84*(F84-1),IF(I84="패",-G84,""))</f>
        <v/>
      </c>
      <c r="K84" s="81" t="str">
        <f aca="false">IFERROR(K83+J84,K83)</f>
        <v/>
      </c>
      <c r="L84" s="80"/>
    </row>
    <row r="85" customFormat="false" ht="18" hidden="false" customHeight="true" outlineLevel="0" collapsed="false">
      <c r="B85" s="82"/>
      <c r="C85" s="82"/>
      <c r="D85" s="82"/>
      <c r="E85" s="82"/>
      <c r="F85" s="82"/>
      <c r="G85" s="82"/>
      <c r="H85" s="82"/>
      <c r="I85" s="82"/>
      <c r="J85" s="83" t="str">
        <f aca="false">IF(I85="승",G85*(F85-1),IF(I85="패",-G85,""))</f>
        <v/>
      </c>
      <c r="K85" s="83" t="str">
        <f aca="false">IFERROR(K84+J85,K84)</f>
        <v/>
      </c>
      <c r="L85" s="82"/>
    </row>
    <row r="86" customFormat="false" ht="18" hidden="false" customHeight="true" outlineLevel="0" collapsed="false">
      <c r="B86" s="80"/>
      <c r="C86" s="80"/>
      <c r="D86" s="80"/>
      <c r="E86" s="80"/>
      <c r="F86" s="80"/>
      <c r="G86" s="80"/>
      <c r="H86" s="80"/>
      <c r="I86" s="80"/>
      <c r="J86" s="81" t="str">
        <f aca="false">IF(I86="승",G86*(F86-1),IF(I86="패",-G86,""))</f>
        <v/>
      </c>
      <c r="K86" s="81" t="str">
        <f aca="false">IFERROR(K85+J86,K85)</f>
        <v/>
      </c>
      <c r="L86" s="80"/>
    </row>
    <row r="87" customFormat="false" ht="18" hidden="false" customHeight="true" outlineLevel="0" collapsed="false">
      <c r="B87" s="82"/>
      <c r="C87" s="82"/>
      <c r="D87" s="82"/>
      <c r="E87" s="82"/>
      <c r="F87" s="82"/>
      <c r="G87" s="82"/>
      <c r="H87" s="82"/>
      <c r="I87" s="82"/>
      <c r="J87" s="83" t="str">
        <f aca="false">IF(I87="승",G87*(F87-1),IF(I87="패",-G87,""))</f>
        <v/>
      </c>
      <c r="K87" s="83" t="str">
        <f aca="false">IFERROR(K86+J87,K86)</f>
        <v/>
      </c>
      <c r="L87" s="82"/>
    </row>
    <row r="88" customFormat="false" ht="18" hidden="false" customHeight="true" outlineLevel="0" collapsed="false">
      <c r="B88" s="80"/>
      <c r="C88" s="80"/>
      <c r="D88" s="80"/>
      <c r="E88" s="80"/>
      <c r="F88" s="80"/>
      <c r="G88" s="80"/>
      <c r="H88" s="80"/>
      <c r="I88" s="80"/>
      <c r="J88" s="81" t="str">
        <f aca="false">IF(I88="승",G88*(F88-1),IF(I88="패",-G88,""))</f>
        <v/>
      </c>
      <c r="K88" s="81" t="str">
        <f aca="false">IFERROR(K87+J88,K87)</f>
        <v/>
      </c>
      <c r="L88" s="80"/>
    </row>
    <row r="89" customFormat="false" ht="18" hidden="false" customHeight="true" outlineLevel="0" collapsed="false">
      <c r="B89" s="82"/>
      <c r="C89" s="82"/>
      <c r="D89" s="82"/>
      <c r="E89" s="82"/>
      <c r="F89" s="82"/>
      <c r="G89" s="82"/>
      <c r="H89" s="82"/>
      <c r="I89" s="82"/>
      <c r="J89" s="83" t="str">
        <f aca="false">IF(I89="승",G89*(F89-1),IF(I89="패",-G89,""))</f>
        <v/>
      </c>
      <c r="K89" s="83" t="str">
        <f aca="false">IFERROR(K88+J89,K88)</f>
        <v/>
      </c>
      <c r="L89" s="82"/>
    </row>
    <row r="90" customFormat="false" ht="18" hidden="false" customHeight="true" outlineLevel="0" collapsed="false">
      <c r="B90" s="80"/>
      <c r="C90" s="80"/>
      <c r="D90" s="80"/>
      <c r="E90" s="80"/>
      <c r="F90" s="80"/>
      <c r="G90" s="80"/>
      <c r="H90" s="80"/>
      <c r="I90" s="80"/>
      <c r="J90" s="81" t="str">
        <f aca="false">IF(I90="승",G90*(F90-1),IF(I90="패",-G90,""))</f>
        <v/>
      </c>
      <c r="K90" s="81" t="str">
        <f aca="false">IFERROR(K89+J90,K89)</f>
        <v/>
      </c>
      <c r="L90" s="80"/>
    </row>
    <row r="91" customFormat="false" ht="18" hidden="false" customHeight="true" outlineLevel="0" collapsed="false">
      <c r="B91" s="82"/>
      <c r="C91" s="82"/>
      <c r="D91" s="82"/>
      <c r="E91" s="82"/>
      <c r="F91" s="82"/>
      <c r="G91" s="82"/>
      <c r="H91" s="82"/>
      <c r="I91" s="82"/>
      <c r="J91" s="83" t="str">
        <f aca="false">IF(I91="승",G91*(F91-1),IF(I91="패",-G91,""))</f>
        <v/>
      </c>
      <c r="K91" s="83" t="str">
        <f aca="false">IFERROR(K90+J91,K90)</f>
        <v/>
      </c>
      <c r="L91" s="82"/>
    </row>
    <row r="92" customFormat="false" ht="18" hidden="false" customHeight="true" outlineLevel="0" collapsed="false">
      <c r="B92" s="80"/>
      <c r="C92" s="80"/>
      <c r="D92" s="80"/>
      <c r="E92" s="80"/>
      <c r="F92" s="80"/>
      <c r="G92" s="80"/>
      <c r="H92" s="80"/>
      <c r="I92" s="80"/>
      <c r="J92" s="81" t="str">
        <f aca="false">IF(I92="승",G92*(F92-1),IF(I92="패",-G92,""))</f>
        <v/>
      </c>
      <c r="K92" s="81" t="str">
        <f aca="false">IFERROR(K91+J92,K91)</f>
        <v/>
      </c>
      <c r="L92" s="80"/>
    </row>
    <row r="93" customFormat="false" ht="18" hidden="false" customHeight="true" outlineLevel="0" collapsed="false">
      <c r="B93" s="82"/>
      <c r="C93" s="82"/>
      <c r="D93" s="82"/>
      <c r="E93" s="82"/>
      <c r="F93" s="82"/>
      <c r="G93" s="82"/>
      <c r="H93" s="82"/>
      <c r="I93" s="82"/>
      <c r="J93" s="83" t="str">
        <f aca="false">IF(I93="승",G93*(F93-1),IF(I93="패",-G93,""))</f>
        <v/>
      </c>
      <c r="K93" s="83" t="str">
        <f aca="false">IFERROR(K92+J93,K92)</f>
        <v/>
      </c>
      <c r="L93" s="82"/>
    </row>
    <row r="94" customFormat="false" ht="18" hidden="false" customHeight="true" outlineLevel="0" collapsed="false">
      <c r="B94" s="80"/>
      <c r="C94" s="80"/>
      <c r="D94" s="80"/>
      <c r="E94" s="80"/>
      <c r="F94" s="80"/>
      <c r="G94" s="80"/>
      <c r="H94" s="80"/>
      <c r="I94" s="80"/>
      <c r="J94" s="81" t="str">
        <f aca="false">IF(I94="승",G94*(F94-1),IF(I94="패",-G94,""))</f>
        <v/>
      </c>
      <c r="K94" s="81" t="str">
        <f aca="false">IFERROR(K93+J94,K93)</f>
        <v/>
      </c>
      <c r="L94" s="80"/>
    </row>
    <row r="95" customFormat="false" ht="18" hidden="false" customHeight="true" outlineLevel="0" collapsed="false">
      <c r="B95" s="82"/>
      <c r="C95" s="82"/>
      <c r="D95" s="82"/>
      <c r="E95" s="82"/>
      <c r="F95" s="82"/>
      <c r="G95" s="82"/>
      <c r="H95" s="82"/>
      <c r="I95" s="82"/>
      <c r="J95" s="83" t="str">
        <f aca="false">IF(I95="승",G95*(F95-1),IF(I95="패",-G95,""))</f>
        <v/>
      </c>
      <c r="K95" s="83" t="str">
        <f aca="false">IFERROR(K94+J95,K94)</f>
        <v/>
      </c>
      <c r="L95" s="82"/>
    </row>
    <row r="96" customFormat="false" ht="18" hidden="false" customHeight="true" outlineLevel="0" collapsed="false">
      <c r="B96" s="80"/>
      <c r="C96" s="80"/>
      <c r="D96" s="80"/>
      <c r="E96" s="80"/>
      <c r="F96" s="80"/>
      <c r="G96" s="80"/>
      <c r="H96" s="80"/>
      <c r="I96" s="80"/>
      <c r="J96" s="81" t="str">
        <f aca="false">IF(I96="승",G96*(F96-1),IF(I96="패",-G96,""))</f>
        <v/>
      </c>
      <c r="K96" s="81" t="str">
        <f aca="false">IFERROR(K95+J96,K95)</f>
        <v/>
      </c>
      <c r="L96" s="80"/>
    </row>
    <row r="97" customFormat="false" ht="18" hidden="false" customHeight="true" outlineLevel="0" collapsed="false">
      <c r="B97" s="82"/>
      <c r="C97" s="82"/>
      <c r="D97" s="82"/>
      <c r="E97" s="82"/>
      <c r="F97" s="82"/>
      <c r="G97" s="82"/>
      <c r="H97" s="82"/>
      <c r="I97" s="82"/>
      <c r="J97" s="83" t="str">
        <f aca="false">IF(I97="승",G97*(F97-1),IF(I97="패",-G97,""))</f>
        <v/>
      </c>
      <c r="K97" s="83" t="str">
        <f aca="false">IFERROR(K96+J97,K96)</f>
        <v/>
      </c>
      <c r="L97" s="82"/>
    </row>
    <row r="98" customFormat="false" ht="18" hidden="false" customHeight="true" outlineLevel="0" collapsed="false">
      <c r="B98" s="80"/>
      <c r="C98" s="80"/>
      <c r="D98" s="80"/>
      <c r="E98" s="80"/>
      <c r="F98" s="80"/>
      <c r="G98" s="80"/>
      <c r="H98" s="80"/>
      <c r="I98" s="80"/>
      <c r="J98" s="81" t="str">
        <f aca="false">IF(I98="승",G98*(F98-1),IF(I98="패",-G98,""))</f>
        <v/>
      </c>
      <c r="K98" s="81" t="str">
        <f aca="false">IFERROR(K97+J98,K97)</f>
        <v/>
      </c>
      <c r="L98" s="80"/>
    </row>
    <row r="99" customFormat="false" ht="18" hidden="false" customHeight="true" outlineLevel="0" collapsed="false">
      <c r="B99" s="82"/>
      <c r="C99" s="82"/>
      <c r="D99" s="82"/>
      <c r="E99" s="82"/>
      <c r="F99" s="82"/>
      <c r="G99" s="82"/>
      <c r="H99" s="82"/>
      <c r="I99" s="82"/>
      <c r="J99" s="83" t="str">
        <f aca="false">IF(I99="승",G99*(F99-1),IF(I99="패",-G99,""))</f>
        <v/>
      </c>
      <c r="K99" s="83" t="str">
        <f aca="false">IFERROR(K98+J99,K98)</f>
        <v/>
      </c>
      <c r="L99" s="82"/>
    </row>
    <row r="100" customFormat="false" ht="18" hidden="false" customHeight="true" outlineLevel="0" collapsed="false">
      <c r="B100" s="80"/>
      <c r="C100" s="80"/>
      <c r="D100" s="80"/>
      <c r="E100" s="80"/>
      <c r="F100" s="80"/>
      <c r="G100" s="80"/>
      <c r="H100" s="80"/>
      <c r="I100" s="80"/>
      <c r="J100" s="81" t="str">
        <f aca="false">IF(I100="승",G100*(F100-1),IF(I100="패",-G100,""))</f>
        <v/>
      </c>
      <c r="K100" s="81" t="str">
        <f aca="false">IFERROR(K99+J100,K99)</f>
        <v/>
      </c>
      <c r="L100" s="80"/>
    </row>
    <row r="101" customFormat="false" ht="18" hidden="false" customHeight="true" outlineLevel="0" collapsed="false">
      <c r="B101" s="82"/>
      <c r="C101" s="82"/>
      <c r="D101" s="82"/>
      <c r="E101" s="82"/>
      <c r="F101" s="82"/>
      <c r="G101" s="82"/>
      <c r="H101" s="82"/>
      <c r="I101" s="82"/>
      <c r="J101" s="83" t="str">
        <f aca="false">IF(I101="승",G101*(F101-1),IF(I101="패",-G101,""))</f>
        <v/>
      </c>
      <c r="K101" s="83" t="str">
        <f aca="false">IFERROR(K100+J101,K100)</f>
        <v/>
      </c>
      <c r="L101" s="82"/>
    </row>
    <row r="102" customFormat="false" ht="18" hidden="false" customHeight="true" outlineLevel="0" collapsed="false">
      <c r="B102" s="80"/>
      <c r="C102" s="80"/>
      <c r="D102" s="80"/>
      <c r="E102" s="80"/>
      <c r="F102" s="80"/>
      <c r="G102" s="80"/>
      <c r="H102" s="80"/>
      <c r="I102" s="80"/>
      <c r="J102" s="81" t="str">
        <f aca="false">IF(I102="승",G102*(F102-1),IF(I102="패",-G102,""))</f>
        <v/>
      </c>
      <c r="K102" s="81" t="str">
        <f aca="false">IFERROR(K101+J102,K101)</f>
        <v/>
      </c>
      <c r="L102" s="80"/>
    </row>
    <row r="103" customFormat="false" ht="18" hidden="false" customHeight="true" outlineLevel="0" collapsed="false">
      <c r="B103" s="82"/>
      <c r="C103" s="82"/>
      <c r="D103" s="82"/>
      <c r="E103" s="82"/>
      <c r="F103" s="82"/>
      <c r="G103" s="82"/>
      <c r="H103" s="82"/>
      <c r="I103" s="82"/>
      <c r="J103" s="83" t="str">
        <f aca="false">IF(I103="승",G103*(F103-1),IF(I103="패",-G103,""))</f>
        <v/>
      </c>
      <c r="K103" s="83" t="str">
        <f aca="false">IFERROR(K102+J103,K102)</f>
        <v/>
      </c>
      <c r="L103" s="82"/>
    </row>
    <row r="104" customFormat="false" ht="18" hidden="false" customHeight="true" outlineLevel="0" collapsed="false">
      <c r="B104" s="80"/>
      <c r="C104" s="80"/>
      <c r="D104" s="80"/>
      <c r="E104" s="80"/>
      <c r="F104" s="80"/>
      <c r="G104" s="80"/>
      <c r="H104" s="80"/>
      <c r="I104" s="80"/>
      <c r="J104" s="81" t="str">
        <f aca="false">IF(I104="승",G104*(F104-1),IF(I104="패",-G104,""))</f>
        <v/>
      </c>
      <c r="K104" s="81" t="str">
        <f aca="false">IFERROR(K103+J104,K103)</f>
        <v/>
      </c>
      <c r="L104" s="80"/>
    </row>
    <row r="105" customFormat="false" ht="18" hidden="false" customHeight="true" outlineLevel="0" collapsed="false">
      <c r="B105" s="82"/>
      <c r="C105" s="82"/>
      <c r="D105" s="82"/>
      <c r="E105" s="82"/>
      <c r="F105" s="82"/>
      <c r="G105" s="82"/>
      <c r="H105" s="82"/>
      <c r="I105" s="82"/>
      <c r="J105" s="83" t="str">
        <f aca="false">IF(I105="승",G105*(F105-1),IF(I105="패",-G105,""))</f>
        <v/>
      </c>
      <c r="K105" s="83" t="str">
        <f aca="false">IFERROR(K104+J105,K104)</f>
        <v/>
      </c>
      <c r="L105" s="82"/>
    </row>
    <row r="106" customFormat="false" ht="18" hidden="false" customHeight="true" outlineLevel="0" collapsed="false">
      <c r="B106" s="80"/>
      <c r="C106" s="80"/>
      <c r="D106" s="80"/>
      <c r="E106" s="80"/>
      <c r="F106" s="80"/>
      <c r="G106" s="80"/>
      <c r="H106" s="80"/>
      <c r="I106" s="80"/>
      <c r="J106" s="81" t="str">
        <f aca="false">IF(I106="승",G106*(F106-1),IF(I106="패",-G106,""))</f>
        <v/>
      </c>
      <c r="K106" s="81" t="str">
        <f aca="false">IFERROR(K105+J106,K105)</f>
        <v/>
      </c>
      <c r="L106" s="80"/>
    </row>
    <row r="107" customFormat="false" ht="18" hidden="false" customHeight="true" outlineLevel="0" collapsed="false">
      <c r="B107" s="82"/>
      <c r="C107" s="82"/>
      <c r="D107" s="82"/>
      <c r="E107" s="82"/>
      <c r="F107" s="82"/>
      <c r="G107" s="82"/>
      <c r="H107" s="82"/>
      <c r="I107" s="82"/>
      <c r="J107" s="83" t="str">
        <f aca="false">IF(I107="승",G107*(F107-1),IF(I107="패",-G107,""))</f>
        <v/>
      </c>
      <c r="K107" s="83" t="str">
        <f aca="false">IFERROR(K106+J107,K106)</f>
        <v/>
      </c>
      <c r="L107" s="82"/>
    </row>
    <row r="108" customFormat="false" ht="18" hidden="false" customHeight="true" outlineLevel="0" collapsed="false">
      <c r="B108" s="80"/>
      <c r="C108" s="80"/>
      <c r="D108" s="80"/>
      <c r="E108" s="80"/>
      <c r="F108" s="80"/>
      <c r="G108" s="80"/>
      <c r="H108" s="80"/>
      <c r="I108" s="80"/>
      <c r="J108" s="81" t="str">
        <f aca="false">IF(I108="승",G108*(F108-1),IF(I108="패",-G108,""))</f>
        <v/>
      </c>
      <c r="K108" s="81" t="str">
        <f aca="false">IFERROR(K107+J108,K107)</f>
        <v/>
      </c>
      <c r="L108" s="80"/>
    </row>
    <row r="109" customFormat="false" ht="18" hidden="false" customHeight="true" outlineLevel="0" collapsed="false">
      <c r="B109" s="82"/>
      <c r="C109" s="82"/>
      <c r="D109" s="82"/>
      <c r="E109" s="82"/>
      <c r="F109" s="82"/>
      <c r="G109" s="82"/>
      <c r="H109" s="82"/>
      <c r="I109" s="82"/>
      <c r="J109" s="83" t="str">
        <f aca="false">IF(I109="승",G109*(F109-1),IF(I109="패",-G109,""))</f>
        <v/>
      </c>
      <c r="K109" s="83" t="str">
        <f aca="false">IFERROR(K108+J109,K108)</f>
        <v/>
      </c>
      <c r="L109" s="82"/>
    </row>
    <row r="110" customFormat="false" ht="18" hidden="false" customHeight="true" outlineLevel="0" collapsed="false">
      <c r="B110" s="80"/>
      <c r="C110" s="80"/>
      <c r="D110" s="80"/>
      <c r="E110" s="80"/>
      <c r="F110" s="80"/>
      <c r="G110" s="80"/>
      <c r="H110" s="80"/>
      <c r="I110" s="80"/>
      <c r="J110" s="81" t="str">
        <f aca="false">IF(I110="승",G110*(F110-1),IF(I110="패",-G110,""))</f>
        <v/>
      </c>
      <c r="K110" s="81" t="str">
        <f aca="false">IFERROR(K109+J110,K109)</f>
        <v/>
      </c>
      <c r="L110" s="80"/>
    </row>
    <row r="111" customFormat="false" ht="18" hidden="false" customHeight="true" outlineLevel="0" collapsed="false">
      <c r="B111" s="82"/>
      <c r="C111" s="82"/>
      <c r="D111" s="82"/>
      <c r="E111" s="82"/>
      <c r="F111" s="82"/>
      <c r="G111" s="82"/>
      <c r="H111" s="82"/>
      <c r="I111" s="82"/>
      <c r="J111" s="83" t="str">
        <f aca="false">IF(I111="승",G111*(F111-1),IF(I111="패",-G111,""))</f>
        <v/>
      </c>
      <c r="K111" s="83" t="str">
        <f aca="false">IFERROR(K110+J111,K110)</f>
        <v/>
      </c>
      <c r="L111" s="82"/>
    </row>
    <row r="112" customFormat="false" ht="18" hidden="false" customHeight="true" outlineLevel="0" collapsed="false">
      <c r="B112" s="80"/>
      <c r="C112" s="80"/>
      <c r="D112" s="80"/>
      <c r="E112" s="80"/>
      <c r="F112" s="80"/>
      <c r="G112" s="80"/>
      <c r="H112" s="80"/>
      <c r="I112" s="80"/>
      <c r="J112" s="81" t="str">
        <f aca="false">IF(I112="승",G112*(F112-1),IF(I112="패",-G112,""))</f>
        <v/>
      </c>
      <c r="K112" s="81" t="str">
        <f aca="false">IFERROR(K111+J112,K111)</f>
        <v/>
      </c>
      <c r="L112" s="80"/>
    </row>
    <row r="113" customFormat="false" ht="18" hidden="false" customHeight="true" outlineLevel="0" collapsed="false">
      <c r="B113" s="82"/>
      <c r="C113" s="82"/>
      <c r="D113" s="82"/>
      <c r="E113" s="82"/>
      <c r="F113" s="82"/>
      <c r="G113" s="82"/>
      <c r="H113" s="82"/>
      <c r="I113" s="82"/>
      <c r="J113" s="83" t="str">
        <f aca="false">IF(I113="승",G113*(F113-1),IF(I113="패",-G113,""))</f>
        <v/>
      </c>
      <c r="K113" s="83" t="str">
        <f aca="false">IFERROR(K112+J113,K112)</f>
        <v/>
      </c>
      <c r="L113" s="82"/>
    </row>
    <row r="114" customFormat="false" ht="18" hidden="false" customHeight="true" outlineLevel="0" collapsed="false">
      <c r="B114" s="80"/>
      <c r="C114" s="80"/>
      <c r="D114" s="80"/>
      <c r="E114" s="80"/>
      <c r="F114" s="80"/>
      <c r="G114" s="80"/>
      <c r="H114" s="80"/>
      <c r="I114" s="80"/>
      <c r="J114" s="81" t="str">
        <f aca="false">IF(I114="승",G114*(F114-1),IF(I114="패",-G114,""))</f>
        <v/>
      </c>
      <c r="K114" s="81" t="str">
        <f aca="false">IFERROR(K113+J114,K113)</f>
        <v/>
      </c>
      <c r="L114" s="80"/>
    </row>
    <row r="115" customFormat="false" ht="18" hidden="false" customHeight="true" outlineLevel="0" collapsed="false">
      <c r="B115" s="82"/>
      <c r="C115" s="82"/>
      <c r="D115" s="82"/>
      <c r="E115" s="82"/>
      <c r="F115" s="82"/>
      <c r="G115" s="82"/>
      <c r="H115" s="82"/>
      <c r="I115" s="82"/>
      <c r="J115" s="83" t="str">
        <f aca="false">IF(I115="승",G115*(F115-1),IF(I115="패",-G115,""))</f>
        <v/>
      </c>
      <c r="K115" s="83" t="str">
        <f aca="false">IFERROR(K114+J115,K114)</f>
        <v/>
      </c>
      <c r="L115" s="82"/>
    </row>
    <row r="116" customFormat="false" ht="18" hidden="false" customHeight="true" outlineLevel="0" collapsed="false">
      <c r="B116" s="80"/>
      <c r="C116" s="80"/>
      <c r="D116" s="80"/>
      <c r="E116" s="80"/>
      <c r="F116" s="80"/>
      <c r="G116" s="80"/>
      <c r="H116" s="80"/>
      <c r="I116" s="80"/>
      <c r="J116" s="81" t="str">
        <f aca="false">IF(I116="승",G116*(F116-1),IF(I116="패",-G116,""))</f>
        <v/>
      </c>
      <c r="K116" s="81" t="str">
        <f aca="false">IFERROR(K115+J116,K115)</f>
        <v/>
      </c>
      <c r="L116" s="80"/>
    </row>
    <row r="117" customFormat="false" ht="18" hidden="false" customHeight="true" outlineLevel="0" collapsed="false">
      <c r="B117" s="82"/>
      <c r="C117" s="82"/>
      <c r="D117" s="82"/>
      <c r="E117" s="82"/>
      <c r="F117" s="82"/>
      <c r="G117" s="82"/>
      <c r="H117" s="82"/>
      <c r="I117" s="82"/>
      <c r="J117" s="83" t="str">
        <f aca="false">IF(I117="승",G117*(F117-1),IF(I117="패",-G117,""))</f>
        <v/>
      </c>
      <c r="K117" s="83" t="str">
        <f aca="false">IFERROR(K116+J117,K116)</f>
        <v/>
      </c>
      <c r="L117" s="82"/>
    </row>
    <row r="118" customFormat="false" ht="18" hidden="false" customHeight="true" outlineLevel="0" collapsed="false">
      <c r="B118" s="80"/>
      <c r="C118" s="80"/>
      <c r="D118" s="80"/>
      <c r="E118" s="80"/>
      <c r="F118" s="80"/>
      <c r="G118" s="80"/>
      <c r="H118" s="80"/>
      <c r="I118" s="80"/>
      <c r="J118" s="81" t="str">
        <f aca="false">IF(I118="승",G118*(F118-1),IF(I118="패",-G118,""))</f>
        <v/>
      </c>
      <c r="K118" s="81" t="str">
        <f aca="false">IFERROR(K117+J118,K117)</f>
        <v/>
      </c>
      <c r="L118" s="80"/>
    </row>
    <row r="119" customFormat="false" ht="18" hidden="false" customHeight="true" outlineLevel="0" collapsed="false">
      <c r="B119" s="82"/>
      <c r="C119" s="82"/>
      <c r="D119" s="82"/>
      <c r="E119" s="82"/>
      <c r="F119" s="82"/>
      <c r="G119" s="82"/>
      <c r="H119" s="82"/>
      <c r="I119" s="82"/>
      <c r="J119" s="83" t="str">
        <f aca="false">IF(I119="승",G119*(F119-1),IF(I119="패",-G119,""))</f>
        <v/>
      </c>
      <c r="K119" s="83" t="str">
        <f aca="false">IFERROR(K118+J119,K118)</f>
        <v/>
      </c>
      <c r="L119" s="82"/>
    </row>
    <row r="120" customFormat="false" ht="18" hidden="false" customHeight="true" outlineLevel="0" collapsed="false">
      <c r="B120" s="80"/>
      <c r="C120" s="80"/>
      <c r="D120" s="80"/>
      <c r="E120" s="80"/>
      <c r="F120" s="80"/>
      <c r="G120" s="80"/>
      <c r="H120" s="80"/>
      <c r="I120" s="80"/>
      <c r="J120" s="81" t="str">
        <f aca="false">IF(I120="승",G120*(F120-1),IF(I120="패",-G120,""))</f>
        <v/>
      </c>
      <c r="K120" s="81" t="str">
        <f aca="false">IFERROR(K119+J120,K119)</f>
        <v/>
      </c>
      <c r="L120" s="80"/>
    </row>
    <row r="121" customFormat="false" ht="18" hidden="false" customHeight="true" outlineLevel="0" collapsed="false">
      <c r="B121" s="82"/>
      <c r="C121" s="82"/>
      <c r="D121" s="82"/>
      <c r="E121" s="82"/>
      <c r="F121" s="82"/>
      <c r="G121" s="82"/>
      <c r="H121" s="82"/>
      <c r="I121" s="82"/>
      <c r="J121" s="83" t="str">
        <f aca="false">IF(I121="승",G121*(F121-1),IF(I121="패",-G121,""))</f>
        <v/>
      </c>
      <c r="K121" s="83" t="str">
        <f aca="false">IFERROR(K120+J121,K120)</f>
        <v/>
      </c>
      <c r="L121" s="82"/>
    </row>
    <row r="122" customFormat="false" ht="18" hidden="false" customHeight="true" outlineLevel="0" collapsed="false">
      <c r="B122" s="80"/>
      <c r="C122" s="80"/>
      <c r="D122" s="80"/>
      <c r="E122" s="80"/>
      <c r="F122" s="80"/>
      <c r="G122" s="80"/>
      <c r="H122" s="80"/>
      <c r="I122" s="80"/>
      <c r="J122" s="81" t="str">
        <f aca="false">IF(I122="승",G122*(F122-1),IF(I122="패",-G122,""))</f>
        <v/>
      </c>
      <c r="K122" s="81" t="str">
        <f aca="false">IFERROR(K121+J122,K121)</f>
        <v/>
      </c>
      <c r="L122" s="80"/>
    </row>
    <row r="123" customFormat="false" ht="18" hidden="false" customHeight="true" outlineLevel="0" collapsed="false">
      <c r="B123" s="82"/>
      <c r="C123" s="82"/>
      <c r="D123" s="82"/>
      <c r="E123" s="82"/>
      <c r="F123" s="82"/>
      <c r="G123" s="82"/>
      <c r="H123" s="82"/>
      <c r="I123" s="82"/>
      <c r="J123" s="83" t="str">
        <f aca="false">IF(I123="승",G123*(F123-1),IF(I123="패",-G123,""))</f>
        <v/>
      </c>
      <c r="K123" s="83" t="str">
        <f aca="false">IFERROR(K122+J123,K122)</f>
        <v/>
      </c>
      <c r="L123" s="82"/>
    </row>
    <row r="124" customFormat="false" ht="18" hidden="false" customHeight="true" outlineLevel="0" collapsed="false">
      <c r="B124" s="80"/>
      <c r="C124" s="80"/>
      <c r="D124" s="80"/>
      <c r="E124" s="80"/>
      <c r="F124" s="80"/>
      <c r="G124" s="80"/>
      <c r="H124" s="80"/>
      <c r="I124" s="80"/>
      <c r="J124" s="81" t="str">
        <f aca="false">IF(I124="승",G124*(F124-1),IF(I124="패",-G124,""))</f>
        <v/>
      </c>
      <c r="K124" s="81" t="str">
        <f aca="false">IFERROR(K123+J124,K123)</f>
        <v/>
      </c>
      <c r="L124" s="80"/>
    </row>
    <row r="125" customFormat="false" ht="18" hidden="false" customHeight="true" outlineLevel="0" collapsed="false">
      <c r="B125" s="82"/>
      <c r="C125" s="82"/>
      <c r="D125" s="82"/>
      <c r="E125" s="82"/>
      <c r="F125" s="82"/>
      <c r="G125" s="82"/>
      <c r="H125" s="82"/>
      <c r="I125" s="82"/>
      <c r="J125" s="83" t="str">
        <f aca="false">IF(I125="승",G125*(F125-1),IF(I125="패",-G125,""))</f>
        <v/>
      </c>
      <c r="K125" s="83" t="str">
        <f aca="false">IFERROR(K124+J125,K124)</f>
        <v/>
      </c>
      <c r="L125" s="82"/>
    </row>
    <row r="126" customFormat="false" ht="18" hidden="false" customHeight="true" outlineLevel="0" collapsed="false">
      <c r="B126" s="80"/>
      <c r="C126" s="80"/>
      <c r="D126" s="80"/>
      <c r="E126" s="80"/>
      <c r="F126" s="80"/>
      <c r="G126" s="80"/>
      <c r="H126" s="80"/>
      <c r="I126" s="80"/>
      <c r="J126" s="81" t="str">
        <f aca="false">IF(I126="승",G126*(F126-1),IF(I126="패",-G126,""))</f>
        <v/>
      </c>
      <c r="K126" s="81" t="str">
        <f aca="false">IFERROR(K125+J126,K125)</f>
        <v/>
      </c>
      <c r="L126" s="80"/>
    </row>
    <row r="127" customFormat="false" ht="18" hidden="false" customHeight="true" outlineLevel="0" collapsed="false">
      <c r="B127" s="82"/>
      <c r="C127" s="82"/>
      <c r="D127" s="82"/>
      <c r="E127" s="82"/>
      <c r="F127" s="82"/>
      <c r="G127" s="82"/>
      <c r="H127" s="82"/>
      <c r="I127" s="82"/>
      <c r="J127" s="83" t="str">
        <f aca="false">IF(I127="승",G127*(F127-1),IF(I127="패",-G127,""))</f>
        <v/>
      </c>
      <c r="K127" s="83" t="str">
        <f aca="false">IFERROR(K126+J127,K126)</f>
        <v/>
      </c>
      <c r="L127" s="82"/>
    </row>
    <row r="128" customFormat="false" ht="18" hidden="false" customHeight="true" outlineLevel="0" collapsed="false">
      <c r="B128" s="80"/>
      <c r="C128" s="80"/>
      <c r="D128" s="80"/>
      <c r="E128" s="80"/>
      <c r="F128" s="80"/>
      <c r="G128" s="80"/>
      <c r="H128" s="80"/>
      <c r="I128" s="80"/>
      <c r="J128" s="81" t="str">
        <f aca="false">IF(I128="승",G128*(F128-1),IF(I128="패",-G128,""))</f>
        <v/>
      </c>
      <c r="K128" s="81" t="str">
        <f aca="false">IFERROR(K127+J128,K127)</f>
        <v/>
      </c>
      <c r="L128" s="80"/>
    </row>
    <row r="129" customFormat="false" ht="18" hidden="false" customHeight="true" outlineLevel="0" collapsed="false">
      <c r="B129" s="82"/>
      <c r="C129" s="82"/>
      <c r="D129" s="82"/>
      <c r="E129" s="82"/>
      <c r="F129" s="82"/>
      <c r="G129" s="82"/>
      <c r="H129" s="82"/>
      <c r="I129" s="82"/>
      <c r="J129" s="83" t="str">
        <f aca="false">IF(I129="승",G129*(F129-1),IF(I129="패",-G129,""))</f>
        <v/>
      </c>
      <c r="K129" s="83" t="str">
        <f aca="false">IFERROR(K128+J129,K128)</f>
        <v/>
      </c>
      <c r="L129" s="82"/>
    </row>
    <row r="130" customFormat="false" ht="18" hidden="false" customHeight="true" outlineLevel="0" collapsed="false">
      <c r="B130" s="80"/>
      <c r="C130" s="80"/>
      <c r="D130" s="80"/>
      <c r="E130" s="80"/>
      <c r="F130" s="80"/>
      <c r="G130" s="80"/>
      <c r="H130" s="80"/>
      <c r="I130" s="80"/>
      <c r="J130" s="81" t="str">
        <f aca="false">IF(I130="승",G130*(F130-1),IF(I130="패",-G130,""))</f>
        <v/>
      </c>
      <c r="K130" s="81" t="str">
        <f aca="false">IFERROR(K129+J130,K129)</f>
        <v/>
      </c>
      <c r="L130" s="80"/>
    </row>
    <row r="131" customFormat="false" ht="18" hidden="false" customHeight="true" outlineLevel="0" collapsed="false">
      <c r="B131" s="82"/>
      <c r="C131" s="82"/>
      <c r="D131" s="82"/>
      <c r="E131" s="82"/>
      <c r="F131" s="82"/>
      <c r="G131" s="82"/>
      <c r="H131" s="82"/>
      <c r="I131" s="82"/>
      <c r="J131" s="83" t="str">
        <f aca="false">IF(I131="승",G131*(F131-1),IF(I131="패",-G131,""))</f>
        <v/>
      </c>
      <c r="K131" s="83" t="str">
        <f aca="false">IFERROR(K130+J131,K130)</f>
        <v/>
      </c>
      <c r="L131" s="82"/>
    </row>
    <row r="132" customFormat="false" ht="18" hidden="false" customHeight="true" outlineLevel="0" collapsed="false">
      <c r="B132" s="80"/>
      <c r="C132" s="80"/>
      <c r="D132" s="80"/>
      <c r="E132" s="80"/>
      <c r="F132" s="80"/>
      <c r="G132" s="80"/>
      <c r="H132" s="80"/>
      <c r="I132" s="80"/>
      <c r="J132" s="81" t="str">
        <f aca="false">IF(I132="승",G132*(F132-1),IF(I132="패",-G132,""))</f>
        <v/>
      </c>
      <c r="K132" s="81" t="str">
        <f aca="false">IFERROR(K131+J132,K131)</f>
        <v/>
      </c>
      <c r="L132" s="80"/>
    </row>
    <row r="133" customFormat="false" ht="18" hidden="false" customHeight="true" outlineLevel="0" collapsed="false">
      <c r="B133" s="82"/>
      <c r="C133" s="82"/>
      <c r="D133" s="82"/>
      <c r="E133" s="82"/>
      <c r="F133" s="82"/>
      <c r="G133" s="82"/>
      <c r="H133" s="82"/>
      <c r="I133" s="82"/>
      <c r="J133" s="83" t="str">
        <f aca="false">IF(I133="승",G133*(F133-1),IF(I133="패",-G133,""))</f>
        <v/>
      </c>
      <c r="K133" s="83" t="str">
        <f aca="false">IFERROR(K132+J133,K132)</f>
        <v/>
      </c>
      <c r="L133" s="82"/>
    </row>
    <row r="134" customFormat="false" ht="18" hidden="false" customHeight="true" outlineLevel="0" collapsed="false">
      <c r="B134" s="80"/>
      <c r="C134" s="80"/>
      <c r="D134" s="80"/>
      <c r="E134" s="80"/>
      <c r="F134" s="80"/>
      <c r="G134" s="80"/>
      <c r="H134" s="80"/>
      <c r="I134" s="80"/>
      <c r="J134" s="81" t="str">
        <f aca="false">IF(I134="승",G134*(F134-1),IF(I134="패",-G134,""))</f>
        <v/>
      </c>
      <c r="K134" s="81" t="str">
        <f aca="false">IFERROR(K133+J134,K133)</f>
        <v/>
      </c>
      <c r="L134" s="80"/>
    </row>
    <row r="135" customFormat="false" ht="18" hidden="false" customHeight="true" outlineLevel="0" collapsed="false">
      <c r="B135" s="82"/>
      <c r="C135" s="82"/>
      <c r="D135" s="82"/>
      <c r="E135" s="82"/>
      <c r="F135" s="82"/>
      <c r="G135" s="82"/>
      <c r="H135" s="82"/>
      <c r="I135" s="82"/>
      <c r="J135" s="83" t="str">
        <f aca="false">IF(I135="승",G135*(F135-1),IF(I135="패",-G135,""))</f>
        <v/>
      </c>
      <c r="K135" s="83" t="str">
        <f aca="false">IFERROR(K134+J135,K134)</f>
        <v/>
      </c>
      <c r="L135" s="82"/>
    </row>
    <row r="136" customFormat="false" ht="18" hidden="false" customHeight="true" outlineLevel="0" collapsed="false">
      <c r="B136" s="80"/>
      <c r="C136" s="80"/>
      <c r="D136" s="80"/>
      <c r="E136" s="80"/>
      <c r="F136" s="80"/>
      <c r="G136" s="80"/>
      <c r="H136" s="80"/>
      <c r="I136" s="80"/>
      <c r="J136" s="81" t="str">
        <f aca="false">IF(I136="승",G136*(F136-1),IF(I136="패",-G136,""))</f>
        <v/>
      </c>
      <c r="K136" s="81" t="str">
        <f aca="false">IFERROR(K135+J136,K135)</f>
        <v/>
      </c>
      <c r="L136" s="80"/>
    </row>
    <row r="137" customFormat="false" ht="18" hidden="false" customHeight="true" outlineLevel="0" collapsed="false">
      <c r="B137" s="82"/>
      <c r="C137" s="82"/>
      <c r="D137" s="82"/>
      <c r="E137" s="82"/>
      <c r="F137" s="82"/>
      <c r="G137" s="82"/>
      <c r="H137" s="82"/>
      <c r="I137" s="82"/>
      <c r="J137" s="83" t="str">
        <f aca="false">IF(I137="승",G137*(F137-1),IF(I137="패",-G137,""))</f>
        <v/>
      </c>
      <c r="K137" s="83" t="str">
        <f aca="false">IFERROR(K136+J137,K136)</f>
        <v/>
      </c>
      <c r="L137" s="82"/>
    </row>
    <row r="138" customFormat="false" ht="18" hidden="false" customHeight="true" outlineLevel="0" collapsed="false">
      <c r="B138" s="80"/>
      <c r="C138" s="80"/>
      <c r="D138" s="80"/>
      <c r="E138" s="80"/>
      <c r="F138" s="80"/>
      <c r="G138" s="80"/>
      <c r="H138" s="80"/>
      <c r="I138" s="80"/>
      <c r="J138" s="81" t="str">
        <f aca="false">IF(I138="승",G138*(F138-1),IF(I138="패",-G138,""))</f>
        <v/>
      </c>
      <c r="K138" s="81" t="str">
        <f aca="false">IFERROR(K137+J138,K137)</f>
        <v/>
      </c>
      <c r="L138" s="80"/>
    </row>
    <row r="139" customFormat="false" ht="18" hidden="false" customHeight="true" outlineLevel="0" collapsed="false">
      <c r="B139" s="82"/>
      <c r="C139" s="82"/>
      <c r="D139" s="82"/>
      <c r="E139" s="82"/>
      <c r="F139" s="82"/>
      <c r="G139" s="82"/>
      <c r="H139" s="82"/>
      <c r="I139" s="82"/>
      <c r="J139" s="83" t="str">
        <f aca="false">IF(I139="승",G139*(F139-1),IF(I139="패",-G139,""))</f>
        <v/>
      </c>
      <c r="K139" s="83" t="str">
        <f aca="false">IFERROR(K138+J139,K138)</f>
        <v/>
      </c>
      <c r="L139" s="82"/>
    </row>
    <row r="140" customFormat="false" ht="18" hidden="false" customHeight="true" outlineLevel="0" collapsed="false">
      <c r="B140" s="80"/>
      <c r="C140" s="80"/>
      <c r="D140" s="80"/>
      <c r="E140" s="80"/>
      <c r="F140" s="80"/>
      <c r="G140" s="80"/>
      <c r="H140" s="80"/>
      <c r="I140" s="80"/>
      <c r="J140" s="81" t="str">
        <f aca="false">IF(I140="승",G140*(F140-1),IF(I140="패",-G140,""))</f>
        <v/>
      </c>
      <c r="K140" s="81" t="str">
        <f aca="false">IFERROR(K139+J140,K139)</f>
        <v/>
      </c>
      <c r="L140" s="80"/>
    </row>
    <row r="141" customFormat="false" ht="18" hidden="false" customHeight="true" outlineLevel="0" collapsed="false">
      <c r="B141" s="82"/>
      <c r="C141" s="82"/>
      <c r="D141" s="82"/>
      <c r="E141" s="82"/>
      <c r="F141" s="82"/>
      <c r="G141" s="82"/>
      <c r="H141" s="82"/>
      <c r="I141" s="82"/>
      <c r="J141" s="83" t="str">
        <f aca="false">IF(I141="승",G141*(F141-1),IF(I141="패",-G141,""))</f>
        <v/>
      </c>
      <c r="K141" s="83" t="str">
        <f aca="false">IFERROR(K140+J141,K140)</f>
        <v/>
      </c>
      <c r="L141" s="82"/>
    </row>
    <row r="142" customFormat="false" ht="18" hidden="false" customHeight="true" outlineLevel="0" collapsed="false">
      <c r="B142" s="80"/>
      <c r="C142" s="80"/>
      <c r="D142" s="80"/>
      <c r="E142" s="80"/>
      <c r="F142" s="80"/>
      <c r="G142" s="80"/>
      <c r="H142" s="80"/>
      <c r="I142" s="80"/>
      <c r="J142" s="81" t="str">
        <f aca="false">IF(I142="승",G142*(F142-1),IF(I142="패",-G142,""))</f>
        <v/>
      </c>
      <c r="K142" s="81" t="str">
        <f aca="false">IFERROR(K141+J142,K141)</f>
        <v/>
      </c>
      <c r="L142" s="80"/>
    </row>
    <row r="143" customFormat="false" ht="18" hidden="false" customHeight="true" outlineLevel="0" collapsed="false">
      <c r="B143" s="82"/>
      <c r="C143" s="82"/>
      <c r="D143" s="82"/>
      <c r="E143" s="82"/>
      <c r="F143" s="82"/>
      <c r="G143" s="82"/>
      <c r="H143" s="82"/>
      <c r="I143" s="82"/>
      <c r="J143" s="83" t="str">
        <f aca="false">IF(I143="승",G143*(F143-1),IF(I143="패",-G143,""))</f>
        <v/>
      </c>
      <c r="K143" s="83" t="str">
        <f aca="false">IFERROR(K142+J143,K142)</f>
        <v/>
      </c>
      <c r="L143" s="82"/>
    </row>
    <row r="144" customFormat="false" ht="18" hidden="false" customHeight="true" outlineLevel="0" collapsed="false">
      <c r="B144" s="80"/>
      <c r="C144" s="80"/>
      <c r="D144" s="80"/>
      <c r="E144" s="80"/>
      <c r="F144" s="80"/>
      <c r="G144" s="80"/>
      <c r="H144" s="80"/>
      <c r="I144" s="80"/>
      <c r="J144" s="81" t="str">
        <f aca="false">IF(I144="승",G144*(F144-1),IF(I144="패",-G144,""))</f>
        <v/>
      </c>
      <c r="K144" s="81" t="str">
        <f aca="false">IFERROR(K143+J144,K143)</f>
        <v/>
      </c>
      <c r="L144" s="80"/>
    </row>
    <row r="145" customFormat="false" ht="18" hidden="false" customHeight="true" outlineLevel="0" collapsed="false">
      <c r="B145" s="82"/>
      <c r="C145" s="82"/>
      <c r="D145" s="82"/>
      <c r="E145" s="82"/>
      <c r="F145" s="82"/>
      <c r="G145" s="82"/>
      <c r="H145" s="82"/>
      <c r="I145" s="82"/>
      <c r="J145" s="83" t="str">
        <f aca="false">IF(I145="승",G145*(F145-1),IF(I145="패",-G145,""))</f>
        <v/>
      </c>
      <c r="K145" s="83" t="str">
        <f aca="false">IFERROR(K144+J145,K144)</f>
        <v/>
      </c>
      <c r="L145" s="82"/>
    </row>
    <row r="146" customFormat="false" ht="18" hidden="false" customHeight="true" outlineLevel="0" collapsed="false">
      <c r="B146" s="80"/>
      <c r="C146" s="80"/>
      <c r="D146" s="80"/>
      <c r="E146" s="80"/>
      <c r="F146" s="80"/>
      <c r="G146" s="80"/>
      <c r="H146" s="80"/>
      <c r="I146" s="80"/>
      <c r="J146" s="81" t="str">
        <f aca="false">IF(I146="승",G146*(F146-1),IF(I146="패",-G146,""))</f>
        <v/>
      </c>
      <c r="K146" s="81" t="str">
        <f aca="false">IFERROR(K145+J146,K145)</f>
        <v/>
      </c>
      <c r="L146" s="80"/>
    </row>
    <row r="147" customFormat="false" ht="18" hidden="false" customHeight="true" outlineLevel="0" collapsed="false">
      <c r="B147" s="82"/>
      <c r="C147" s="82"/>
      <c r="D147" s="82"/>
      <c r="E147" s="82"/>
      <c r="F147" s="82"/>
      <c r="G147" s="82"/>
      <c r="H147" s="82"/>
      <c r="I147" s="82"/>
      <c r="J147" s="83" t="str">
        <f aca="false">IF(I147="승",G147*(F147-1),IF(I147="패",-G147,""))</f>
        <v/>
      </c>
      <c r="K147" s="83" t="str">
        <f aca="false">IFERROR(K146+J147,K146)</f>
        <v/>
      </c>
      <c r="L147" s="82"/>
    </row>
    <row r="148" customFormat="false" ht="18" hidden="false" customHeight="true" outlineLevel="0" collapsed="false">
      <c r="B148" s="80"/>
      <c r="C148" s="80"/>
      <c r="D148" s="80"/>
      <c r="E148" s="80"/>
      <c r="F148" s="80"/>
      <c r="G148" s="80"/>
      <c r="H148" s="80"/>
      <c r="I148" s="80"/>
      <c r="J148" s="81" t="str">
        <f aca="false">IF(I148="승",G148*(F148-1),IF(I148="패",-G148,""))</f>
        <v/>
      </c>
      <c r="K148" s="81" t="str">
        <f aca="false">IFERROR(K147+J148,K147)</f>
        <v/>
      </c>
      <c r="L148" s="80"/>
    </row>
    <row r="149" customFormat="false" ht="18" hidden="false" customHeight="true" outlineLevel="0" collapsed="false">
      <c r="B149" s="82"/>
      <c r="C149" s="82"/>
      <c r="D149" s="82"/>
      <c r="E149" s="82"/>
      <c r="F149" s="82"/>
      <c r="G149" s="82"/>
      <c r="H149" s="82"/>
      <c r="I149" s="82"/>
      <c r="J149" s="83" t="str">
        <f aca="false">IF(I149="승",G149*(F149-1),IF(I149="패",-G149,""))</f>
        <v/>
      </c>
      <c r="K149" s="83" t="str">
        <f aca="false">IFERROR(K148+J149,K148)</f>
        <v/>
      </c>
      <c r="L149" s="82"/>
    </row>
    <row r="150" customFormat="false" ht="18" hidden="false" customHeight="true" outlineLevel="0" collapsed="false">
      <c r="B150" s="80"/>
      <c r="C150" s="80"/>
      <c r="D150" s="80"/>
      <c r="E150" s="80"/>
      <c r="F150" s="80"/>
      <c r="G150" s="80"/>
      <c r="H150" s="80"/>
      <c r="I150" s="80"/>
      <c r="J150" s="81" t="str">
        <f aca="false">IF(I150="승",G150*(F150-1),IF(I150="패",-G150,""))</f>
        <v/>
      </c>
      <c r="K150" s="81" t="str">
        <f aca="false">IFERROR(K149+J150,K149)</f>
        <v/>
      </c>
      <c r="L150" s="80"/>
    </row>
    <row r="151" customFormat="false" ht="18" hidden="false" customHeight="true" outlineLevel="0" collapsed="false">
      <c r="B151" s="82"/>
      <c r="C151" s="82"/>
      <c r="D151" s="82"/>
      <c r="E151" s="82"/>
      <c r="F151" s="82"/>
      <c r="G151" s="82"/>
      <c r="H151" s="82"/>
      <c r="I151" s="82"/>
      <c r="J151" s="83" t="str">
        <f aca="false">IF(I151="승",G151*(F151-1),IF(I151="패",-G151,""))</f>
        <v/>
      </c>
      <c r="K151" s="83" t="str">
        <f aca="false">IFERROR(K150+J151,K150)</f>
        <v/>
      </c>
      <c r="L151" s="82"/>
    </row>
    <row r="152" customFormat="false" ht="18" hidden="false" customHeight="true" outlineLevel="0" collapsed="false">
      <c r="B152" s="80"/>
      <c r="C152" s="80"/>
      <c r="D152" s="80"/>
      <c r="E152" s="80"/>
      <c r="F152" s="80"/>
      <c r="G152" s="80"/>
      <c r="H152" s="80"/>
      <c r="I152" s="80"/>
      <c r="J152" s="81" t="str">
        <f aca="false">IF(I152="승",G152*(F152-1),IF(I152="패",-G152,""))</f>
        <v/>
      </c>
      <c r="K152" s="81" t="str">
        <f aca="false">IFERROR(K151+J152,K151)</f>
        <v/>
      </c>
      <c r="L152" s="80"/>
    </row>
    <row r="153" customFormat="false" ht="18" hidden="false" customHeight="true" outlineLevel="0" collapsed="false">
      <c r="B153" s="82"/>
      <c r="C153" s="82"/>
      <c r="D153" s="82"/>
      <c r="E153" s="82"/>
      <c r="F153" s="82"/>
      <c r="G153" s="82"/>
      <c r="H153" s="82"/>
      <c r="I153" s="82"/>
      <c r="J153" s="83" t="str">
        <f aca="false">IF(I153="승",G153*(F153-1),IF(I153="패",-G153,""))</f>
        <v/>
      </c>
      <c r="K153" s="83" t="str">
        <f aca="false">IFERROR(K152+J153,K152)</f>
        <v/>
      </c>
      <c r="L153" s="82"/>
    </row>
    <row r="154" customFormat="false" ht="18" hidden="false" customHeight="true" outlineLevel="0" collapsed="false">
      <c r="B154" s="80"/>
      <c r="C154" s="80"/>
      <c r="D154" s="80"/>
      <c r="E154" s="80"/>
      <c r="F154" s="80"/>
      <c r="G154" s="80"/>
      <c r="H154" s="80"/>
      <c r="I154" s="80"/>
      <c r="J154" s="81" t="str">
        <f aca="false">IF(I154="승",G154*(F154-1),IF(I154="패",-G154,""))</f>
        <v/>
      </c>
      <c r="K154" s="81" t="str">
        <f aca="false">IFERROR(K153+J154,K153)</f>
        <v/>
      </c>
      <c r="L154" s="80"/>
    </row>
    <row r="155" customFormat="false" ht="18" hidden="false" customHeight="true" outlineLevel="0" collapsed="false">
      <c r="B155" s="82"/>
      <c r="C155" s="82"/>
      <c r="D155" s="82"/>
      <c r="E155" s="82"/>
      <c r="F155" s="82"/>
      <c r="G155" s="82"/>
      <c r="H155" s="82"/>
      <c r="I155" s="82"/>
      <c r="J155" s="83" t="str">
        <f aca="false">IF(I155="승",G155*(F155-1),IF(I155="패",-G155,""))</f>
        <v/>
      </c>
      <c r="K155" s="83" t="str">
        <f aca="false">IFERROR(K154+J155,K154)</f>
        <v/>
      </c>
      <c r="L155" s="82"/>
    </row>
    <row r="156" customFormat="false" ht="18" hidden="false" customHeight="true" outlineLevel="0" collapsed="false">
      <c r="B156" s="80"/>
      <c r="C156" s="80"/>
      <c r="D156" s="80"/>
      <c r="E156" s="80"/>
      <c r="F156" s="80"/>
      <c r="G156" s="80"/>
      <c r="H156" s="80"/>
      <c r="I156" s="80"/>
      <c r="J156" s="81" t="str">
        <f aca="false">IF(I156="승",G156*(F156-1),IF(I156="패",-G156,""))</f>
        <v/>
      </c>
      <c r="K156" s="81" t="str">
        <f aca="false">IFERROR(K155+J156,K155)</f>
        <v/>
      </c>
      <c r="L156" s="80"/>
    </row>
    <row r="157" customFormat="false" ht="18" hidden="false" customHeight="true" outlineLevel="0" collapsed="false">
      <c r="B157" s="82"/>
      <c r="C157" s="82"/>
      <c r="D157" s="82"/>
      <c r="E157" s="82"/>
      <c r="F157" s="82"/>
      <c r="G157" s="82"/>
      <c r="H157" s="82"/>
      <c r="I157" s="82"/>
      <c r="J157" s="83" t="str">
        <f aca="false">IF(I157="승",G157*(F157-1),IF(I157="패",-G157,""))</f>
        <v/>
      </c>
      <c r="K157" s="83" t="str">
        <f aca="false">IFERROR(K156+J157,K156)</f>
        <v/>
      </c>
      <c r="L157" s="82"/>
    </row>
    <row r="158" customFormat="false" ht="18" hidden="false" customHeight="true" outlineLevel="0" collapsed="false">
      <c r="B158" s="80"/>
      <c r="C158" s="80"/>
      <c r="D158" s="80"/>
      <c r="E158" s="80"/>
      <c r="F158" s="80"/>
      <c r="G158" s="80"/>
      <c r="H158" s="80"/>
      <c r="I158" s="80"/>
      <c r="J158" s="81" t="str">
        <f aca="false">IF(I158="승",G158*(F158-1),IF(I158="패",-G158,""))</f>
        <v/>
      </c>
      <c r="K158" s="81" t="str">
        <f aca="false">IFERROR(K157+J158,K157)</f>
        <v/>
      </c>
      <c r="L158" s="80"/>
    </row>
    <row r="159" customFormat="false" ht="18" hidden="false" customHeight="true" outlineLevel="0" collapsed="false">
      <c r="B159" s="82"/>
      <c r="C159" s="82"/>
      <c r="D159" s="82"/>
      <c r="E159" s="82"/>
      <c r="F159" s="82"/>
      <c r="G159" s="82"/>
      <c r="H159" s="82"/>
      <c r="I159" s="82"/>
      <c r="J159" s="83" t="str">
        <f aca="false">IF(I159="승",G159*(F159-1),IF(I159="패",-G159,""))</f>
        <v/>
      </c>
      <c r="K159" s="83" t="str">
        <f aca="false">IFERROR(K158+J159,K158)</f>
        <v/>
      </c>
      <c r="L159" s="82"/>
    </row>
    <row r="160" customFormat="false" ht="18" hidden="false" customHeight="true" outlineLevel="0" collapsed="false">
      <c r="B160" s="80"/>
      <c r="C160" s="80"/>
      <c r="D160" s="80"/>
      <c r="E160" s="80"/>
      <c r="F160" s="80"/>
      <c r="G160" s="80"/>
      <c r="H160" s="80"/>
      <c r="I160" s="80"/>
      <c r="J160" s="81" t="str">
        <f aca="false">IF(I160="승",G160*(F160-1),IF(I160="패",-G160,""))</f>
        <v/>
      </c>
      <c r="K160" s="81" t="str">
        <f aca="false">IFERROR(K159+J160,K159)</f>
        <v/>
      </c>
      <c r="L160" s="80"/>
    </row>
    <row r="161" customFormat="false" ht="18" hidden="false" customHeight="true" outlineLevel="0" collapsed="false">
      <c r="B161" s="82"/>
      <c r="C161" s="82"/>
      <c r="D161" s="82"/>
      <c r="E161" s="82"/>
      <c r="F161" s="82"/>
      <c r="G161" s="82"/>
      <c r="H161" s="82"/>
      <c r="I161" s="82"/>
      <c r="J161" s="83" t="str">
        <f aca="false">IF(I161="승",G161*(F161-1),IF(I161="패",-G161,""))</f>
        <v/>
      </c>
      <c r="K161" s="83" t="str">
        <f aca="false">IFERROR(K160+J161,K160)</f>
        <v/>
      </c>
      <c r="L161" s="82"/>
    </row>
    <row r="162" customFormat="false" ht="18" hidden="false" customHeight="true" outlineLevel="0" collapsed="false">
      <c r="B162" s="80"/>
      <c r="C162" s="80"/>
      <c r="D162" s="80"/>
      <c r="E162" s="80"/>
      <c r="F162" s="80"/>
      <c r="G162" s="80"/>
      <c r="H162" s="80"/>
      <c r="I162" s="80"/>
      <c r="J162" s="81" t="str">
        <f aca="false">IF(I162="승",G162*(F162-1),IF(I162="패",-G162,""))</f>
        <v/>
      </c>
      <c r="K162" s="81" t="str">
        <f aca="false">IFERROR(K161+J162,K161)</f>
        <v/>
      </c>
      <c r="L162" s="80"/>
    </row>
    <row r="163" customFormat="false" ht="18" hidden="false" customHeight="true" outlineLevel="0" collapsed="false">
      <c r="B163" s="82"/>
      <c r="C163" s="82"/>
      <c r="D163" s="82"/>
      <c r="E163" s="82"/>
      <c r="F163" s="82"/>
      <c r="G163" s="82"/>
      <c r="H163" s="82"/>
      <c r="I163" s="82"/>
      <c r="J163" s="83" t="str">
        <f aca="false">IF(I163="승",G163*(F163-1),IF(I163="패",-G163,""))</f>
        <v/>
      </c>
      <c r="K163" s="83" t="str">
        <f aca="false">IFERROR(K162+J163,K162)</f>
        <v/>
      </c>
      <c r="L163" s="82"/>
    </row>
    <row r="164" customFormat="false" ht="18" hidden="false" customHeight="true" outlineLevel="0" collapsed="false">
      <c r="B164" s="80"/>
      <c r="C164" s="80"/>
      <c r="D164" s="80"/>
      <c r="E164" s="80"/>
      <c r="F164" s="80"/>
      <c r="G164" s="80"/>
      <c r="H164" s="80"/>
      <c r="I164" s="80"/>
      <c r="J164" s="81" t="str">
        <f aca="false">IF(I164="승",G164*(F164-1),IF(I164="패",-G164,""))</f>
        <v/>
      </c>
      <c r="K164" s="81" t="str">
        <f aca="false">IFERROR(K163+J164,K163)</f>
        <v/>
      </c>
      <c r="L164" s="80"/>
    </row>
    <row r="165" customFormat="false" ht="18" hidden="false" customHeight="true" outlineLevel="0" collapsed="false">
      <c r="B165" s="82"/>
      <c r="C165" s="82"/>
      <c r="D165" s="82"/>
      <c r="E165" s="82"/>
      <c r="F165" s="82"/>
      <c r="G165" s="82"/>
      <c r="H165" s="82"/>
      <c r="I165" s="82"/>
      <c r="J165" s="83" t="str">
        <f aca="false">IF(I165="승",G165*(F165-1),IF(I165="패",-G165,""))</f>
        <v/>
      </c>
      <c r="K165" s="83" t="str">
        <f aca="false">IFERROR(K164+J165,K164)</f>
        <v/>
      </c>
      <c r="L165" s="82"/>
    </row>
    <row r="166" customFormat="false" ht="18" hidden="false" customHeight="true" outlineLevel="0" collapsed="false">
      <c r="B166" s="80"/>
      <c r="C166" s="80"/>
      <c r="D166" s="80"/>
      <c r="E166" s="80"/>
      <c r="F166" s="80"/>
      <c r="G166" s="80"/>
      <c r="H166" s="80"/>
      <c r="I166" s="80"/>
      <c r="J166" s="81" t="str">
        <f aca="false">IF(I166="승",G166*(F166-1),IF(I166="패",-G166,""))</f>
        <v/>
      </c>
      <c r="K166" s="81" t="str">
        <f aca="false">IFERROR(K165+J166,K165)</f>
        <v/>
      </c>
      <c r="L166" s="80"/>
    </row>
    <row r="167" customFormat="false" ht="18" hidden="false" customHeight="true" outlineLevel="0" collapsed="false">
      <c r="B167" s="82"/>
      <c r="C167" s="82"/>
      <c r="D167" s="82"/>
      <c r="E167" s="82"/>
      <c r="F167" s="82"/>
      <c r="G167" s="82"/>
      <c r="H167" s="82"/>
      <c r="I167" s="82"/>
      <c r="J167" s="83" t="str">
        <f aca="false">IF(I167="승",G167*(F167-1),IF(I167="패",-G167,""))</f>
        <v/>
      </c>
      <c r="K167" s="83" t="str">
        <f aca="false">IFERROR(K166+J167,K166)</f>
        <v/>
      </c>
      <c r="L167" s="82"/>
    </row>
    <row r="168" customFormat="false" ht="18" hidden="false" customHeight="true" outlineLevel="0" collapsed="false">
      <c r="B168" s="80"/>
      <c r="C168" s="80"/>
      <c r="D168" s="80"/>
      <c r="E168" s="80"/>
      <c r="F168" s="80"/>
      <c r="G168" s="80"/>
      <c r="H168" s="80"/>
      <c r="I168" s="80"/>
      <c r="J168" s="81" t="str">
        <f aca="false">IF(I168="승",G168*(F168-1),IF(I168="패",-G168,""))</f>
        <v/>
      </c>
      <c r="K168" s="81" t="str">
        <f aca="false">IFERROR(K167+J168,K167)</f>
        <v/>
      </c>
      <c r="L168" s="80"/>
    </row>
    <row r="169" customFormat="false" ht="18" hidden="false" customHeight="true" outlineLevel="0" collapsed="false">
      <c r="B169" s="82"/>
      <c r="C169" s="82"/>
      <c r="D169" s="82"/>
      <c r="E169" s="82"/>
      <c r="F169" s="82"/>
      <c r="G169" s="82"/>
      <c r="H169" s="82"/>
      <c r="I169" s="82"/>
      <c r="J169" s="83" t="str">
        <f aca="false">IF(I169="승",G169*(F169-1),IF(I169="패",-G169,""))</f>
        <v/>
      </c>
      <c r="K169" s="83" t="str">
        <f aca="false">IFERROR(K168+J169,K168)</f>
        <v/>
      </c>
      <c r="L169" s="82"/>
    </row>
    <row r="170" customFormat="false" ht="18" hidden="false" customHeight="true" outlineLevel="0" collapsed="false">
      <c r="B170" s="80"/>
      <c r="C170" s="80"/>
      <c r="D170" s="80"/>
      <c r="E170" s="80"/>
      <c r="F170" s="80"/>
      <c r="G170" s="80"/>
      <c r="H170" s="80"/>
      <c r="I170" s="80"/>
      <c r="J170" s="81" t="str">
        <f aca="false">IF(I170="승",G170*(F170-1),IF(I170="패",-G170,""))</f>
        <v/>
      </c>
      <c r="K170" s="81" t="str">
        <f aca="false">IFERROR(K169+J170,K169)</f>
        <v/>
      </c>
      <c r="L170" s="80"/>
    </row>
    <row r="171" customFormat="false" ht="18" hidden="false" customHeight="true" outlineLevel="0" collapsed="false">
      <c r="B171" s="82"/>
      <c r="C171" s="82"/>
      <c r="D171" s="82"/>
      <c r="E171" s="82"/>
      <c r="F171" s="82"/>
      <c r="G171" s="82"/>
      <c r="H171" s="82"/>
      <c r="I171" s="82"/>
      <c r="J171" s="83" t="str">
        <f aca="false">IF(I171="승",G171*(F171-1),IF(I171="패",-G171,""))</f>
        <v/>
      </c>
      <c r="K171" s="83" t="str">
        <f aca="false">IFERROR(K170+J171,K170)</f>
        <v/>
      </c>
      <c r="L171" s="82"/>
    </row>
    <row r="172" customFormat="false" ht="18" hidden="false" customHeight="true" outlineLevel="0" collapsed="false">
      <c r="B172" s="80"/>
      <c r="C172" s="80"/>
      <c r="D172" s="80"/>
      <c r="E172" s="80"/>
      <c r="F172" s="80"/>
      <c r="G172" s="80"/>
      <c r="H172" s="80"/>
      <c r="I172" s="80"/>
      <c r="J172" s="81" t="str">
        <f aca="false">IF(I172="승",G172*(F172-1),IF(I172="패",-G172,""))</f>
        <v/>
      </c>
      <c r="K172" s="81" t="str">
        <f aca="false">IFERROR(K171+J172,K171)</f>
        <v/>
      </c>
      <c r="L172" s="80"/>
    </row>
    <row r="173" customFormat="false" ht="18" hidden="false" customHeight="true" outlineLevel="0" collapsed="false">
      <c r="B173" s="82"/>
      <c r="C173" s="82"/>
      <c r="D173" s="82"/>
      <c r="E173" s="82"/>
      <c r="F173" s="82"/>
      <c r="G173" s="82"/>
      <c r="H173" s="82"/>
      <c r="I173" s="82"/>
      <c r="J173" s="83" t="str">
        <f aca="false">IF(I173="승",G173*(F173-1),IF(I173="패",-G173,""))</f>
        <v/>
      </c>
      <c r="K173" s="83" t="str">
        <f aca="false">IFERROR(K172+J173,K172)</f>
        <v/>
      </c>
      <c r="L173" s="82"/>
    </row>
    <row r="174" customFormat="false" ht="18" hidden="false" customHeight="true" outlineLevel="0" collapsed="false">
      <c r="B174" s="80"/>
      <c r="C174" s="80"/>
      <c r="D174" s="80"/>
      <c r="E174" s="80"/>
      <c r="F174" s="80"/>
      <c r="G174" s="80"/>
      <c r="H174" s="80"/>
      <c r="I174" s="80"/>
      <c r="J174" s="81" t="str">
        <f aca="false">IF(I174="승",G174*(F174-1),IF(I174="패",-G174,""))</f>
        <v/>
      </c>
      <c r="K174" s="81" t="str">
        <f aca="false">IFERROR(K173+J174,K173)</f>
        <v/>
      </c>
      <c r="L174" s="80"/>
    </row>
    <row r="175" customFormat="false" ht="18" hidden="false" customHeight="true" outlineLevel="0" collapsed="false">
      <c r="B175" s="82"/>
      <c r="C175" s="82"/>
      <c r="D175" s="82"/>
      <c r="E175" s="82"/>
      <c r="F175" s="82"/>
      <c r="G175" s="82"/>
      <c r="H175" s="82"/>
      <c r="I175" s="82"/>
      <c r="J175" s="83" t="str">
        <f aca="false">IF(I175="승",G175*(F175-1),IF(I175="패",-G175,""))</f>
        <v/>
      </c>
      <c r="K175" s="83" t="str">
        <f aca="false">IFERROR(K174+J175,K174)</f>
        <v/>
      </c>
      <c r="L175" s="82"/>
    </row>
    <row r="176" customFormat="false" ht="18" hidden="false" customHeight="true" outlineLevel="0" collapsed="false">
      <c r="B176" s="80"/>
      <c r="C176" s="80"/>
      <c r="D176" s="80"/>
      <c r="E176" s="80"/>
      <c r="F176" s="80"/>
      <c r="G176" s="80"/>
      <c r="H176" s="80"/>
      <c r="I176" s="80"/>
      <c r="J176" s="81" t="str">
        <f aca="false">IF(I176="승",G176*(F176-1),IF(I176="패",-G176,""))</f>
        <v/>
      </c>
      <c r="K176" s="81" t="str">
        <f aca="false">IFERROR(K175+J176,K175)</f>
        <v/>
      </c>
      <c r="L176" s="80"/>
    </row>
    <row r="177" customFormat="false" ht="18" hidden="false" customHeight="true" outlineLevel="0" collapsed="false">
      <c r="B177" s="82"/>
      <c r="C177" s="82"/>
      <c r="D177" s="82"/>
      <c r="E177" s="82"/>
      <c r="F177" s="82"/>
      <c r="G177" s="82"/>
      <c r="H177" s="82"/>
      <c r="I177" s="82"/>
      <c r="J177" s="83" t="str">
        <f aca="false">IF(I177="승",G177*(F177-1),IF(I177="패",-G177,""))</f>
        <v/>
      </c>
      <c r="K177" s="83" t="str">
        <f aca="false">IFERROR(K176+J177,K176)</f>
        <v/>
      </c>
      <c r="L177" s="82"/>
    </row>
    <row r="178" customFormat="false" ht="18" hidden="false" customHeight="true" outlineLevel="0" collapsed="false">
      <c r="B178" s="80"/>
      <c r="C178" s="80"/>
      <c r="D178" s="80"/>
      <c r="E178" s="80"/>
      <c r="F178" s="80"/>
      <c r="G178" s="80"/>
      <c r="H178" s="80"/>
      <c r="I178" s="80"/>
      <c r="J178" s="81" t="str">
        <f aca="false">IF(I178="승",G178*(F178-1),IF(I178="패",-G178,""))</f>
        <v/>
      </c>
      <c r="K178" s="81" t="str">
        <f aca="false">IFERROR(K177+J178,K177)</f>
        <v/>
      </c>
      <c r="L178" s="80"/>
    </row>
    <row r="179" customFormat="false" ht="18" hidden="false" customHeight="true" outlineLevel="0" collapsed="false">
      <c r="B179" s="82"/>
      <c r="C179" s="82"/>
      <c r="D179" s="82"/>
      <c r="E179" s="82"/>
      <c r="F179" s="82"/>
      <c r="G179" s="82"/>
      <c r="H179" s="82"/>
      <c r="I179" s="82"/>
      <c r="J179" s="83" t="str">
        <f aca="false">IF(I179="승",G179*(F179-1),IF(I179="패",-G179,""))</f>
        <v/>
      </c>
      <c r="K179" s="83" t="str">
        <f aca="false">IFERROR(K178+J179,K178)</f>
        <v/>
      </c>
      <c r="L179" s="82"/>
    </row>
    <row r="180" customFormat="false" ht="18" hidden="false" customHeight="true" outlineLevel="0" collapsed="false">
      <c r="B180" s="80"/>
      <c r="C180" s="80"/>
      <c r="D180" s="80"/>
      <c r="E180" s="80"/>
      <c r="F180" s="80"/>
      <c r="G180" s="80"/>
      <c r="H180" s="80"/>
      <c r="I180" s="80"/>
      <c r="J180" s="81" t="str">
        <f aca="false">IF(I180="승",G180*(F180-1),IF(I180="패",-G180,""))</f>
        <v/>
      </c>
      <c r="K180" s="81" t="str">
        <f aca="false">IFERROR(K179+J180,K179)</f>
        <v/>
      </c>
      <c r="L180" s="80"/>
    </row>
    <row r="181" customFormat="false" ht="18" hidden="false" customHeight="true" outlineLevel="0" collapsed="false">
      <c r="B181" s="82"/>
      <c r="C181" s="82"/>
      <c r="D181" s="82"/>
      <c r="E181" s="82"/>
      <c r="F181" s="82"/>
      <c r="G181" s="82"/>
      <c r="H181" s="82"/>
      <c r="I181" s="82"/>
      <c r="J181" s="83" t="str">
        <f aca="false">IF(I181="승",G181*(F181-1),IF(I181="패",-G181,""))</f>
        <v/>
      </c>
      <c r="K181" s="83" t="str">
        <f aca="false">IFERROR(K180+J181,K180)</f>
        <v/>
      </c>
      <c r="L181" s="82"/>
    </row>
    <row r="182" customFormat="false" ht="18" hidden="false" customHeight="true" outlineLevel="0" collapsed="false">
      <c r="B182" s="80"/>
      <c r="C182" s="80"/>
      <c r="D182" s="80"/>
      <c r="E182" s="80"/>
      <c r="F182" s="80"/>
      <c r="G182" s="80"/>
      <c r="H182" s="80"/>
      <c r="I182" s="80"/>
      <c r="J182" s="81" t="str">
        <f aca="false">IF(I182="승",G182*(F182-1),IF(I182="패",-G182,""))</f>
        <v/>
      </c>
      <c r="K182" s="81" t="str">
        <f aca="false">IFERROR(K181+J182,K181)</f>
        <v/>
      </c>
      <c r="L182" s="80"/>
    </row>
    <row r="183" customFormat="false" ht="18" hidden="false" customHeight="true" outlineLevel="0" collapsed="false">
      <c r="B183" s="82"/>
      <c r="C183" s="82"/>
      <c r="D183" s="82"/>
      <c r="E183" s="82"/>
      <c r="F183" s="82"/>
      <c r="G183" s="82"/>
      <c r="H183" s="82"/>
      <c r="I183" s="82"/>
      <c r="J183" s="83" t="str">
        <f aca="false">IF(I183="승",G183*(F183-1),IF(I183="패",-G183,""))</f>
        <v/>
      </c>
      <c r="K183" s="83" t="str">
        <f aca="false">IFERROR(K182+J183,K182)</f>
        <v/>
      </c>
      <c r="L183" s="82"/>
    </row>
    <row r="184" customFormat="false" ht="18" hidden="false" customHeight="true" outlineLevel="0" collapsed="false">
      <c r="B184" s="80"/>
      <c r="C184" s="80"/>
      <c r="D184" s="80"/>
      <c r="E184" s="80"/>
      <c r="F184" s="80"/>
      <c r="G184" s="80"/>
      <c r="H184" s="80"/>
      <c r="I184" s="80"/>
      <c r="J184" s="81" t="str">
        <f aca="false">IF(I184="승",G184*(F184-1),IF(I184="패",-G184,""))</f>
        <v/>
      </c>
      <c r="K184" s="81" t="str">
        <f aca="false">IFERROR(K183+J184,K183)</f>
        <v/>
      </c>
      <c r="L184" s="80"/>
    </row>
    <row r="185" customFormat="false" ht="18" hidden="false" customHeight="true" outlineLevel="0" collapsed="false">
      <c r="B185" s="82"/>
      <c r="C185" s="82"/>
      <c r="D185" s="82"/>
      <c r="E185" s="82"/>
      <c r="F185" s="82"/>
      <c r="G185" s="82"/>
      <c r="H185" s="82"/>
      <c r="I185" s="82"/>
      <c r="J185" s="83" t="str">
        <f aca="false">IF(I185="승",G185*(F185-1),IF(I185="패",-G185,""))</f>
        <v/>
      </c>
      <c r="K185" s="83" t="str">
        <f aca="false">IFERROR(K184+J185,K184)</f>
        <v/>
      </c>
      <c r="L185" s="82"/>
    </row>
    <row r="186" customFormat="false" ht="18" hidden="false" customHeight="true" outlineLevel="0" collapsed="false">
      <c r="B186" s="80"/>
      <c r="C186" s="80"/>
      <c r="D186" s="80"/>
      <c r="E186" s="80"/>
      <c r="F186" s="80"/>
      <c r="G186" s="80"/>
      <c r="H186" s="80"/>
      <c r="I186" s="80"/>
      <c r="J186" s="81" t="str">
        <f aca="false">IF(I186="승",G186*(F186-1),IF(I186="패",-G186,""))</f>
        <v/>
      </c>
      <c r="K186" s="81" t="str">
        <f aca="false">IFERROR(K185+J186,K185)</f>
        <v/>
      </c>
      <c r="L186" s="80"/>
    </row>
    <row r="187" customFormat="false" ht="18" hidden="false" customHeight="true" outlineLevel="0" collapsed="false">
      <c r="B187" s="82"/>
      <c r="C187" s="82"/>
      <c r="D187" s="82"/>
      <c r="E187" s="82"/>
      <c r="F187" s="82"/>
      <c r="G187" s="82"/>
      <c r="H187" s="82"/>
      <c r="I187" s="82"/>
      <c r="J187" s="83" t="str">
        <f aca="false">IF(I187="승",G187*(F187-1),IF(I187="패",-G187,""))</f>
        <v/>
      </c>
      <c r="K187" s="83" t="str">
        <f aca="false">IFERROR(K186+J187,K186)</f>
        <v/>
      </c>
      <c r="L187" s="82"/>
    </row>
    <row r="188" customFormat="false" ht="18" hidden="false" customHeight="true" outlineLevel="0" collapsed="false">
      <c r="B188" s="80"/>
      <c r="C188" s="80"/>
      <c r="D188" s="80"/>
      <c r="E188" s="80"/>
      <c r="F188" s="80"/>
      <c r="G188" s="80"/>
      <c r="H188" s="80"/>
      <c r="I188" s="80"/>
      <c r="J188" s="81" t="str">
        <f aca="false">IF(I188="승",G188*(F188-1),IF(I188="패",-G188,""))</f>
        <v/>
      </c>
      <c r="K188" s="81" t="str">
        <f aca="false">IFERROR(K187+J188,K187)</f>
        <v/>
      </c>
      <c r="L188" s="80"/>
    </row>
    <row r="189" customFormat="false" ht="18" hidden="false" customHeight="true" outlineLevel="0" collapsed="false">
      <c r="B189" s="82"/>
      <c r="C189" s="82"/>
      <c r="D189" s="82"/>
      <c r="E189" s="82"/>
      <c r="F189" s="82"/>
      <c r="G189" s="82"/>
      <c r="H189" s="82"/>
      <c r="I189" s="82"/>
      <c r="J189" s="83" t="str">
        <f aca="false">IF(I189="승",G189*(F189-1),IF(I189="패",-G189,""))</f>
        <v/>
      </c>
      <c r="K189" s="83" t="str">
        <f aca="false">IFERROR(K188+J189,K188)</f>
        <v/>
      </c>
      <c r="L189" s="82"/>
    </row>
    <row r="190" customFormat="false" ht="18" hidden="false" customHeight="true" outlineLevel="0" collapsed="false">
      <c r="B190" s="80"/>
      <c r="C190" s="80"/>
      <c r="D190" s="80"/>
      <c r="E190" s="80"/>
      <c r="F190" s="80"/>
      <c r="G190" s="80"/>
      <c r="H190" s="80"/>
      <c r="I190" s="80"/>
      <c r="J190" s="81" t="str">
        <f aca="false">IF(I190="승",G190*(F190-1),IF(I190="패",-G190,""))</f>
        <v/>
      </c>
      <c r="K190" s="81" t="str">
        <f aca="false">IFERROR(K189+J190,K189)</f>
        <v/>
      </c>
      <c r="L190" s="80"/>
    </row>
    <row r="191" customFormat="false" ht="18" hidden="false" customHeight="true" outlineLevel="0" collapsed="false">
      <c r="B191" s="82"/>
      <c r="C191" s="82"/>
      <c r="D191" s="82"/>
      <c r="E191" s="82"/>
      <c r="F191" s="82"/>
      <c r="G191" s="82"/>
      <c r="H191" s="82"/>
      <c r="I191" s="82"/>
      <c r="J191" s="83" t="str">
        <f aca="false">IF(I191="승",G191*(F191-1),IF(I191="패",-G191,""))</f>
        <v/>
      </c>
      <c r="K191" s="83" t="str">
        <f aca="false">IFERROR(K190+J191,K190)</f>
        <v/>
      </c>
      <c r="L191" s="82"/>
    </row>
    <row r="192" customFormat="false" ht="18" hidden="false" customHeight="true" outlineLevel="0" collapsed="false">
      <c r="B192" s="80"/>
      <c r="C192" s="80"/>
      <c r="D192" s="80"/>
      <c r="E192" s="80"/>
      <c r="F192" s="80"/>
      <c r="G192" s="80"/>
      <c r="H192" s="80"/>
      <c r="I192" s="80"/>
      <c r="J192" s="81" t="str">
        <f aca="false">IF(I192="승",G192*(F192-1),IF(I192="패",-G192,""))</f>
        <v/>
      </c>
      <c r="K192" s="81" t="str">
        <f aca="false">IFERROR(K191+J192,K191)</f>
        <v/>
      </c>
      <c r="L192" s="80"/>
    </row>
    <row r="193" customFormat="false" ht="18" hidden="false" customHeight="true" outlineLevel="0" collapsed="false">
      <c r="B193" s="82"/>
      <c r="C193" s="82"/>
      <c r="D193" s="82"/>
      <c r="E193" s="82"/>
      <c r="F193" s="82"/>
      <c r="G193" s="82"/>
      <c r="H193" s="82"/>
      <c r="I193" s="82"/>
      <c r="J193" s="83" t="str">
        <f aca="false">IF(I193="승",G193*(F193-1),IF(I193="패",-G193,""))</f>
        <v/>
      </c>
      <c r="K193" s="83" t="str">
        <f aca="false">IFERROR(K192+J193,K192)</f>
        <v/>
      </c>
      <c r="L193" s="82"/>
    </row>
    <row r="194" customFormat="false" ht="18" hidden="false" customHeight="true" outlineLevel="0" collapsed="false">
      <c r="B194" s="80"/>
      <c r="C194" s="80"/>
      <c r="D194" s="80"/>
      <c r="E194" s="80"/>
      <c r="F194" s="80"/>
      <c r="G194" s="80"/>
      <c r="H194" s="80"/>
      <c r="I194" s="80"/>
      <c r="J194" s="81" t="str">
        <f aca="false">IF(I194="승",G194*(F194-1),IF(I194="패",-G194,""))</f>
        <v/>
      </c>
      <c r="K194" s="81" t="str">
        <f aca="false">IFERROR(K193+J194,K193)</f>
        <v/>
      </c>
      <c r="L194" s="80"/>
    </row>
    <row r="195" customFormat="false" ht="18" hidden="false" customHeight="true" outlineLevel="0" collapsed="false">
      <c r="B195" s="82"/>
      <c r="C195" s="82"/>
      <c r="D195" s="82"/>
      <c r="E195" s="82"/>
      <c r="F195" s="82"/>
      <c r="G195" s="82"/>
      <c r="H195" s="82"/>
      <c r="I195" s="82"/>
      <c r="J195" s="83" t="str">
        <f aca="false">IF(I195="승",G195*(F195-1),IF(I195="패",-G195,""))</f>
        <v/>
      </c>
      <c r="K195" s="83" t="str">
        <f aca="false">IFERROR(K194+J195,K194)</f>
        <v/>
      </c>
      <c r="L195" s="82"/>
    </row>
    <row r="196" customFormat="false" ht="18" hidden="false" customHeight="true" outlineLevel="0" collapsed="false">
      <c r="B196" s="80"/>
      <c r="C196" s="80"/>
      <c r="D196" s="80"/>
      <c r="E196" s="80"/>
      <c r="F196" s="80"/>
      <c r="G196" s="80"/>
      <c r="H196" s="80"/>
      <c r="I196" s="80"/>
      <c r="J196" s="81" t="str">
        <f aca="false">IF(I196="승",G196*(F196-1),IF(I196="패",-G196,""))</f>
        <v/>
      </c>
      <c r="K196" s="81" t="str">
        <f aca="false">IFERROR(K195+J196,K195)</f>
        <v/>
      </c>
      <c r="L196" s="80"/>
    </row>
    <row r="197" customFormat="false" ht="18" hidden="false" customHeight="true" outlineLevel="0" collapsed="false">
      <c r="B197" s="82"/>
      <c r="C197" s="82"/>
      <c r="D197" s="82"/>
      <c r="E197" s="82"/>
      <c r="F197" s="82"/>
      <c r="G197" s="82"/>
      <c r="H197" s="82"/>
      <c r="I197" s="82"/>
      <c r="J197" s="83" t="str">
        <f aca="false">IF(I197="승",G197*(F197-1),IF(I197="패",-G197,""))</f>
        <v/>
      </c>
      <c r="K197" s="83" t="str">
        <f aca="false">IFERROR(K196+J197,K196)</f>
        <v/>
      </c>
      <c r="L197" s="82"/>
    </row>
    <row r="198" customFormat="false" ht="18" hidden="false" customHeight="true" outlineLevel="0" collapsed="false">
      <c r="B198" s="80"/>
      <c r="C198" s="80"/>
      <c r="D198" s="80"/>
      <c r="E198" s="80"/>
      <c r="F198" s="80"/>
      <c r="G198" s="80"/>
      <c r="H198" s="80"/>
      <c r="I198" s="80"/>
      <c r="J198" s="81" t="str">
        <f aca="false">IF(I198="승",G198*(F198-1),IF(I198="패",-G198,""))</f>
        <v/>
      </c>
      <c r="K198" s="81" t="str">
        <f aca="false">IFERROR(K197+J198,K197)</f>
        <v/>
      </c>
      <c r="L198" s="80"/>
    </row>
    <row r="199" customFormat="false" ht="18" hidden="false" customHeight="true" outlineLevel="0" collapsed="false">
      <c r="B199" s="82"/>
      <c r="C199" s="82"/>
      <c r="D199" s="82"/>
      <c r="E199" s="82"/>
      <c r="F199" s="82"/>
      <c r="G199" s="82"/>
      <c r="H199" s="82"/>
      <c r="I199" s="82"/>
      <c r="J199" s="83" t="str">
        <f aca="false">IF(I199="승",G199*(F199-1),IF(I199="패",-G199,""))</f>
        <v/>
      </c>
      <c r="K199" s="83" t="str">
        <f aca="false">IFERROR(K198+J199,K198)</f>
        <v/>
      </c>
      <c r="L199" s="82"/>
    </row>
    <row r="200" customFormat="false" ht="18" hidden="false" customHeight="true" outlineLevel="0" collapsed="false">
      <c r="B200" s="80"/>
      <c r="C200" s="80"/>
      <c r="D200" s="80"/>
      <c r="E200" s="80"/>
      <c r="F200" s="80"/>
      <c r="G200" s="80"/>
      <c r="H200" s="80"/>
      <c r="I200" s="80"/>
      <c r="J200" s="81" t="str">
        <f aca="false">IF(I200="승",G200*(F200-1),IF(I200="패",-G200,""))</f>
        <v/>
      </c>
      <c r="K200" s="81" t="str">
        <f aca="false">IFERROR(K199+J200,K199)</f>
        <v/>
      </c>
      <c r="L200" s="80"/>
    </row>
    <row r="201" customFormat="false" ht="18" hidden="false" customHeight="true" outlineLevel="0" collapsed="false">
      <c r="B201" s="82"/>
      <c r="C201" s="82"/>
      <c r="D201" s="82"/>
      <c r="E201" s="82"/>
      <c r="F201" s="82"/>
      <c r="G201" s="82"/>
      <c r="H201" s="82"/>
      <c r="I201" s="82"/>
      <c r="J201" s="83" t="str">
        <f aca="false">IF(I201="승",G201*(F201-1),IF(I201="패",-G201,""))</f>
        <v/>
      </c>
      <c r="K201" s="83" t="str">
        <f aca="false">IFERROR(K200+J201,K200)</f>
        <v/>
      </c>
      <c r="L201" s="82"/>
    </row>
    <row r="202" customFormat="false" ht="18" hidden="false" customHeight="true" outlineLevel="0" collapsed="false">
      <c r="B202" s="80"/>
      <c r="C202" s="80"/>
      <c r="D202" s="80"/>
      <c r="E202" s="80"/>
      <c r="F202" s="80"/>
      <c r="G202" s="80"/>
      <c r="H202" s="80"/>
      <c r="I202" s="80"/>
      <c r="J202" s="81" t="str">
        <f aca="false">IF(I202="승",G202*(F202-1),IF(I202="패",-G202,""))</f>
        <v/>
      </c>
      <c r="K202" s="81" t="str">
        <f aca="false">IFERROR(K201+J202,K201)</f>
        <v/>
      </c>
      <c r="L202" s="80"/>
    </row>
    <row r="203" customFormat="false" ht="18" hidden="false" customHeight="true" outlineLevel="0" collapsed="false">
      <c r="B203" s="82"/>
      <c r="C203" s="82"/>
      <c r="D203" s="82"/>
      <c r="E203" s="82"/>
      <c r="F203" s="82"/>
      <c r="G203" s="82"/>
      <c r="H203" s="82"/>
      <c r="I203" s="82"/>
      <c r="J203" s="83" t="str">
        <f aca="false">IF(I203="승",G203*(F203-1),IF(I203="패",-G203,""))</f>
        <v/>
      </c>
      <c r="K203" s="83" t="str">
        <f aca="false">IFERROR(K202+J203,K202)</f>
        <v/>
      </c>
      <c r="L203" s="82"/>
    </row>
    <row r="204" customFormat="false" ht="18" hidden="false" customHeight="true" outlineLevel="0" collapsed="false">
      <c r="B204" s="80"/>
      <c r="C204" s="80"/>
      <c r="D204" s="80"/>
      <c r="E204" s="80"/>
      <c r="F204" s="80"/>
      <c r="G204" s="80"/>
      <c r="H204" s="80"/>
      <c r="I204" s="80"/>
      <c r="J204" s="81" t="str">
        <f aca="false">IF(I204="승",G204*(F204-1),IF(I204="패",-G204,""))</f>
        <v/>
      </c>
      <c r="K204" s="81" t="str">
        <f aca="false">IFERROR(K203+J204,K203)</f>
        <v/>
      </c>
      <c r="L204" s="80"/>
    </row>
    <row r="205" customFormat="false" ht="18" hidden="false" customHeight="true" outlineLevel="0" collapsed="false">
      <c r="B205" s="82"/>
      <c r="C205" s="82"/>
      <c r="D205" s="82"/>
      <c r="E205" s="82"/>
      <c r="F205" s="82"/>
      <c r="G205" s="82"/>
      <c r="H205" s="82"/>
      <c r="I205" s="82"/>
      <c r="J205" s="83" t="str">
        <f aca="false">IF(I205="승",G205*(F205-1),IF(I205="패",-G205,""))</f>
        <v/>
      </c>
      <c r="K205" s="83" t="str">
        <f aca="false">IFERROR(K204+J205,K204)</f>
        <v/>
      </c>
      <c r="L205" s="82"/>
    </row>
  </sheetData>
  <mergeCells count="1">
    <mergeCell ref="B2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2"/>
    <col collapsed="false" customWidth="true" hidden="false" outlineLevel="0" max="5" min="2" style="22" width="10"/>
    <col collapsed="false" customWidth="true" hidden="false" outlineLevel="0" max="8" min="6" style="22" width="12"/>
    <col collapsed="false" customWidth="true" hidden="false" outlineLevel="0" max="10" min="9" style="22" width="14"/>
    <col collapsed="false" customWidth="true" hidden="false" outlineLevel="0" max="11" min="11" style="22" width="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66" t="s">
        <v>187</v>
      </c>
      <c r="C2" s="66"/>
      <c r="D2" s="66"/>
      <c r="E2" s="66"/>
      <c r="F2" s="66"/>
      <c r="G2" s="66"/>
      <c r="H2" s="66"/>
      <c r="I2" s="66"/>
      <c r="J2" s="66"/>
    </row>
    <row r="3" customFormat="false" ht="18" hidden="false" customHeight="true" outlineLevel="0" collapsed="false">
      <c r="B3" s="66"/>
      <c r="C3" s="66"/>
      <c r="D3" s="66"/>
      <c r="E3" s="66"/>
      <c r="F3" s="66"/>
      <c r="G3" s="66"/>
      <c r="H3" s="66"/>
      <c r="I3" s="66"/>
      <c r="J3" s="66"/>
    </row>
    <row r="4" customFormat="false" ht="7.5" hidden="false" customHeight="true" outlineLevel="0" collapsed="false"/>
    <row r="5" customFormat="false" ht="21.75" hidden="false" customHeight="true" outlineLevel="0" collapsed="false">
      <c r="B5" s="67" t="s">
        <v>74</v>
      </c>
      <c r="C5" s="67"/>
      <c r="D5" s="67"/>
      <c r="E5" s="67"/>
      <c r="F5" s="67"/>
      <c r="G5" s="67"/>
      <c r="H5" s="67"/>
      <c r="I5" s="67"/>
      <c r="J5" s="67"/>
    </row>
    <row r="6" customFormat="false" ht="18" hidden="false" customHeight="true" outlineLevel="0" collapsed="false">
      <c r="B6" s="68" t="s">
        <v>57</v>
      </c>
      <c r="C6" s="68" t="s">
        <v>82</v>
      </c>
      <c r="D6" s="68" t="s">
        <v>161</v>
      </c>
      <c r="E6" s="68" t="s">
        <v>162</v>
      </c>
      <c r="F6" s="68" t="s">
        <v>188</v>
      </c>
      <c r="G6" s="68" t="s">
        <v>164</v>
      </c>
      <c r="H6" s="68" t="s">
        <v>165</v>
      </c>
      <c r="I6" s="68" t="s">
        <v>166</v>
      </c>
      <c r="J6" s="68" t="s">
        <v>167</v>
      </c>
      <c r="K6" s="69" t="s">
        <v>168</v>
      </c>
    </row>
    <row r="7" customFormat="false" ht="18" hidden="false" customHeight="true" outlineLevel="0" collapsed="false">
      <c r="B7" s="84" t="s">
        <v>5</v>
      </c>
      <c r="C7" s="85" t="s">
        <v>87</v>
      </c>
      <c r="D7" s="71" t="s">
        <v>104</v>
      </c>
      <c r="E7" s="71" t="n">
        <v>0</v>
      </c>
      <c r="F7" s="71" t="n">
        <v>0</v>
      </c>
      <c r="G7" s="71" t="n">
        <v>0</v>
      </c>
      <c r="H7" s="71" t="n">
        <f aca="false">IFERROR(F7/E7*100,0)</f>
        <v>0</v>
      </c>
      <c r="I7" s="71" t="n">
        <v>0</v>
      </c>
      <c r="J7" s="71" t="n">
        <v>0</v>
      </c>
      <c r="K7" s="71" t="n">
        <f aca="false">IFERROR((J7-I7)/I7*100,0)</f>
        <v>0</v>
      </c>
    </row>
    <row r="8" customFormat="false" ht="18" hidden="false" customHeight="true" outlineLevel="0" collapsed="false">
      <c r="B8" s="84" t="s">
        <v>5</v>
      </c>
      <c r="C8" s="85" t="s">
        <v>87</v>
      </c>
      <c r="D8" s="74" t="s">
        <v>106</v>
      </c>
      <c r="E8" s="74" t="n">
        <v>0</v>
      </c>
      <c r="F8" s="74" t="n">
        <v>0</v>
      </c>
      <c r="G8" s="74" t="n">
        <v>0</v>
      </c>
      <c r="H8" s="74" t="n">
        <f aca="false">IFERROR(F8/E8*100,0)</f>
        <v>0</v>
      </c>
      <c r="I8" s="74" t="n">
        <v>0</v>
      </c>
      <c r="J8" s="74" t="n">
        <v>0</v>
      </c>
      <c r="K8" s="74" t="n">
        <f aca="false">IFERROR((J8-I8)/I8*100,0)</f>
        <v>0</v>
      </c>
    </row>
    <row r="9" customFormat="false" ht="18" hidden="false" customHeight="true" outlineLevel="0" collapsed="false">
      <c r="B9" s="84" t="s">
        <v>5</v>
      </c>
      <c r="C9" s="86" t="s">
        <v>91</v>
      </c>
      <c r="D9" s="71" t="s">
        <v>108</v>
      </c>
      <c r="E9" s="71" t="n">
        <v>0</v>
      </c>
      <c r="F9" s="71" t="n">
        <v>0</v>
      </c>
      <c r="G9" s="71" t="n">
        <v>0</v>
      </c>
      <c r="H9" s="71" t="n">
        <f aca="false">IFERROR(F9/E9*100,0)</f>
        <v>0</v>
      </c>
      <c r="I9" s="71" t="n">
        <v>0</v>
      </c>
      <c r="J9" s="71" t="n">
        <v>0</v>
      </c>
      <c r="K9" s="71" t="n">
        <f aca="false">IFERROR((J9-I9)/I9*100,0)</f>
        <v>0</v>
      </c>
    </row>
    <row r="10" customFormat="false" ht="18" hidden="false" customHeight="true" outlineLevel="0" collapsed="false">
      <c r="B10" s="84" t="s">
        <v>5</v>
      </c>
      <c r="C10" s="86" t="s">
        <v>91</v>
      </c>
      <c r="D10" s="74" t="s">
        <v>110</v>
      </c>
      <c r="E10" s="74" t="n">
        <v>0</v>
      </c>
      <c r="F10" s="74" t="n">
        <v>0</v>
      </c>
      <c r="G10" s="74" t="n">
        <v>0</v>
      </c>
      <c r="H10" s="74" t="n">
        <f aca="false">IFERROR(F10/E10*100,0)</f>
        <v>0</v>
      </c>
      <c r="I10" s="74" t="n">
        <v>0</v>
      </c>
      <c r="J10" s="74" t="n">
        <v>0</v>
      </c>
      <c r="K10" s="74" t="n">
        <f aca="false">IFERROR((J10-I10)/I10*100,0)</f>
        <v>0</v>
      </c>
    </row>
    <row r="11" customFormat="false" ht="18" hidden="false" customHeight="true" outlineLevel="0" collapsed="false">
      <c r="B11" s="84" t="s">
        <v>5</v>
      </c>
      <c r="C11" s="87" t="s">
        <v>96</v>
      </c>
      <c r="D11" s="71" t="s">
        <v>112</v>
      </c>
      <c r="E11" s="71" t="n">
        <v>0</v>
      </c>
      <c r="F11" s="71" t="n">
        <v>0</v>
      </c>
      <c r="G11" s="71" t="n">
        <v>0</v>
      </c>
      <c r="H11" s="71" t="n">
        <f aca="false">IFERROR(F11/E11*100,0)</f>
        <v>0</v>
      </c>
      <c r="I11" s="71" t="n">
        <v>0</v>
      </c>
      <c r="J11" s="71" t="n">
        <v>0</v>
      </c>
      <c r="K11" s="71" t="n">
        <f aca="false">IFERROR((J11-I11)/I11*100,0)</f>
        <v>0</v>
      </c>
    </row>
    <row r="12" customFormat="false" ht="18" hidden="false" customHeight="true" outlineLevel="0" collapsed="false">
      <c r="B12" s="84" t="s">
        <v>5</v>
      </c>
      <c r="C12" s="87" t="s">
        <v>96</v>
      </c>
      <c r="D12" s="74" t="s">
        <v>114</v>
      </c>
      <c r="E12" s="74" t="n">
        <v>0</v>
      </c>
      <c r="F12" s="74" t="n">
        <v>0</v>
      </c>
      <c r="G12" s="74" t="n">
        <v>0</v>
      </c>
      <c r="H12" s="74" t="n">
        <f aca="false">IFERROR(F12/E12*100,0)</f>
        <v>0</v>
      </c>
      <c r="I12" s="74" t="n">
        <v>0</v>
      </c>
      <c r="J12" s="74" t="n">
        <v>0</v>
      </c>
      <c r="K12" s="74" t="n">
        <f aca="false">IFERROR((J12-I12)/I12*100,0)</f>
        <v>0</v>
      </c>
    </row>
    <row r="13" customFormat="false" ht="19.5" hidden="false" customHeight="true" outlineLevel="0" collapsed="false">
      <c r="B13" s="76" t="s">
        <v>172</v>
      </c>
      <c r="C13" s="76"/>
      <c r="D13" s="76"/>
      <c r="E13" s="76" t="n">
        <f aca="false">SUM(E7:E12)</f>
        <v>0</v>
      </c>
      <c r="F13" s="76" t="n">
        <f aca="false">SUM(F7:F12)</f>
        <v>0</v>
      </c>
      <c r="G13" s="76" t="n">
        <f aca="false">SUM(G7:G12)</f>
        <v>0</v>
      </c>
      <c r="H13" s="76" t="n">
        <f aca="false">IFERROR(F13/E13*100,0)</f>
        <v>0</v>
      </c>
      <c r="I13" s="76" t="n">
        <f aca="false">SUM(I7:I12)</f>
        <v>0</v>
      </c>
      <c r="J13" s="76" t="n">
        <f aca="false">SUM(J7:J12)</f>
        <v>0</v>
      </c>
      <c r="K13" s="76" t="n">
        <f aca="false">IFERROR((J13-I13)/I13*100,0)</f>
        <v>0</v>
      </c>
    </row>
    <row r="15" customFormat="false" ht="21.75" hidden="false" customHeight="true" outlineLevel="0" collapsed="false">
      <c r="B15" s="78" t="s">
        <v>76</v>
      </c>
      <c r="C15" s="78"/>
      <c r="D15" s="78"/>
      <c r="E15" s="78"/>
      <c r="F15" s="78"/>
      <c r="G15" s="78"/>
      <c r="H15" s="78"/>
      <c r="I15" s="78"/>
      <c r="J15" s="78"/>
    </row>
    <row r="16" customFormat="false" ht="18" hidden="false" customHeight="true" outlineLevel="0" collapsed="false">
      <c r="B16" s="68" t="s">
        <v>57</v>
      </c>
      <c r="C16" s="68" t="s">
        <v>82</v>
      </c>
      <c r="D16" s="68" t="s">
        <v>161</v>
      </c>
      <c r="E16" s="68" t="s">
        <v>162</v>
      </c>
      <c r="F16" s="68" t="s">
        <v>188</v>
      </c>
      <c r="G16" s="68" t="s">
        <v>164</v>
      </c>
      <c r="H16" s="68" t="s">
        <v>165</v>
      </c>
      <c r="I16" s="68" t="s">
        <v>166</v>
      </c>
      <c r="J16" s="68" t="s">
        <v>167</v>
      </c>
      <c r="K16" s="69" t="s">
        <v>168</v>
      </c>
    </row>
    <row r="17" customFormat="false" ht="18" hidden="false" customHeight="true" outlineLevel="0" collapsed="false">
      <c r="B17" s="88" t="s">
        <v>6</v>
      </c>
      <c r="C17" s="85" t="s">
        <v>87</v>
      </c>
      <c r="D17" s="71" t="s">
        <v>104</v>
      </c>
      <c r="E17" s="71" t="n">
        <v>0</v>
      </c>
      <c r="F17" s="71" t="n">
        <v>0</v>
      </c>
      <c r="G17" s="71" t="n">
        <v>0</v>
      </c>
      <c r="H17" s="71" t="n">
        <f aca="false">IFERROR(F17/E17*100,0)</f>
        <v>0</v>
      </c>
      <c r="I17" s="71" t="n">
        <v>0</v>
      </c>
      <c r="J17" s="71" t="n">
        <v>0</v>
      </c>
      <c r="K17" s="71" t="n">
        <f aca="false">IFERROR((J17-I17)/I17*100,0)</f>
        <v>0</v>
      </c>
    </row>
    <row r="18" customFormat="false" ht="18" hidden="false" customHeight="true" outlineLevel="0" collapsed="false">
      <c r="B18" s="88" t="s">
        <v>6</v>
      </c>
      <c r="C18" s="85" t="s">
        <v>87</v>
      </c>
      <c r="D18" s="74" t="s">
        <v>106</v>
      </c>
      <c r="E18" s="74" t="n">
        <v>0</v>
      </c>
      <c r="F18" s="74" t="n">
        <v>0</v>
      </c>
      <c r="G18" s="74" t="n">
        <v>0</v>
      </c>
      <c r="H18" s="74" t="n">
        <f aca="false">IFERROR(F18/E18*100,0)</f>
        <v>0</v>
      </c>
      <c r="I18" s="74" t="n">
        <v>0</v>
      </c>
      <c r="J18" s="74" t="n">
        <v>0</v>
      </c>
      <c r="K18" s="74" t="n">
        <f aca="false">IFERROR((J18-I18)/I18*100,0)</f>
        <v>0</v>
      </c>
    </row>
    <row r="19" customFormat="false" ht="18" hidden="false" customHeight="true" outlineLevel="0" collapsed="false">
      <c r="B19" s="88" t="s">
        <v>6</v>
      </c>
      <c r="C19" s="86" t="s">
        <v>91</v>
      </c>
      <c r="D19" s="71" t="s">
        <v>108</v>
      </c>
      <c r="E19" s="71" t="n">
        <v>0</v>
      </c>
      <c r="F19" s="71" t="n">
        <v>0</v>
      </c>
      <c r="G19" s="71" t="n">
        <v>0</v>
      </c>
      <c r="H19" s="71" t="n">
        <f aca="false">IFERROR(F19/E19*100,0)</f>
        <v>0</v>
      </c>
      <c r="I19" s="71" t="n">
        <v>0</v>
      </c>
      <c r="J19" s="71" t="n">
        <v>0</v>
      </c>
      <c r="K19" s="71" t="n">
        <f aca="false">IFERROR((J19-I19)/I19*100,0)</f>
        <v>0</v>
      </c>
    </row>
    <row r="20" customFormat="false" ht="18" hidden="false" customHeight="true" outlineLevel="0" collapsed="false">
      <c r="B20" s="88" t="s">
        <v>6</v>
      </c>
      <c r="C20" s="86" t="s">
        <v>91</v>
      </c>
      <c r="D20" s="74" t="s">
        <v>110</v>
      </c>
      <c r="E20" s="74" t="n">
        <v>0</v>
      </c>
      <c r="F20" s="74" t="n">
        <v>0</v>
      </c>
      <c r="G20" s="74" t="n">
        <v>0</v>
      </c>
      <c r="H20" s="74" t="n">
        <f aca="false">IFERROR(F20/E20*100,0)</f>
        <v>0</v>
      </c>
      <c r="I20" s="74" t="n">
        <v>0</v>
      </c>
      <c r="J20" s="74" t="n">
        <v>0</v>
      </c>
      <c r="K20" s="74" t="n">
        <f aca="false">IFERROR((J20-I20)/I20*100,0)</f>
        <v>0</v>
      </c>
    </row>
    <row r="21" customFormat="false" ht="18" hidden="false" customHeight="true" outlineLevel="0" collapsed="false">
      <c r="B21" s="88" t="s">
        <v>6</v>
      </c>
      <c r="C21" s="87" t="s">
        <v>96</v>
      </c>
      <c r="D21" s="71" t="s">
        <v>112</v>
      </c>
      <c r="E21" s="71" t="n">
        <v>0</v>
      </c>
      <c r="F21" s="71" t="n">
        <v>0</v>
      </c>
      <c r="G21" s="71" t="n">
        <v>0</v>
      </c>
      <c r="H21" s="71" t="n">
        <f aca="false">IFERROR(F21/E21*100,0)</f>
        <v>0</v>
      </c>
      <c r="I21" s="71" t="n">
        <v>0</v>
      </c>
      <c r="J21" s="71" t="n">
        <v>0</v>
      </c>
      <c r="K21" s="71" t="n">
        <f aca="false">IFERROR((J21-I21)/I21*100,0)</f>
        <v>0</v>
      </c>
    </row>
    <row r="22" customFormat="false" ht="18" hidden="false" customHeight="true" outlineLevel="0" collapsed="false">
      <c r="B22" s="88" t="s">
        <v>6</v>
      </c>
      <c r="C22" s="87" t="s">
        <v>96</v>
      </c>
      <c r="D22" s="74" t="s">
        <v>114</v>
      </c>
      <c r="E22" s="74" t="n">
        <v>0</v>
      </c>
      <c r="F22" s="74" t="n">
        <v>0</v>
      </c>
      <c r="G22" s="74" t="n">
        <v>0</v>
      </c>
      <c r="H22" s="74" t="n">
        <f aca="false">IFERROR(F22/E22*100,0)</f>
        <v>0</v>
      </c>
      <c r="I22" s="74" t="n">
        <v>0</v>
      </c>
      <c r="J22" s="74" t="n">
        <v>0</v>
      </c>
      <c r="K22" s="74" t="n">
        <f aca="false">IFERROR((J22-I22)/I22*100,0)</f>
        <v>0</v>
      </c>
    </row>
    <row r="23" customFormat="false" ht="19.5" hidden="false" customHeight="true" outlineLevel="0" collapsed="false">
      <c r="B23" s="76" t="s">
        <v>172</v>
      </c>
      <c r="C23" s="76"/>
      <c r="D23" s="76"/>
      <c r="E23" s="76" t="n">
        <f aca="false">SUM(E17:E22)</f>
        <v>0</v>
      </c>
      <c r="F23" s="76" t="n">
        <f aca="false">SUM(F17:F22)</f>
        <v>0</v>
      </c>
      <c r="G23" s="76" t="n">
        <f aca="false">SUM(G17:G22)</f>
        <v>0</v>
      </c>
      <c r="H23" s="76" t="n">
        <f aca="false">IFERROR(F23/E23*100,0)</f>
        <v>0</v>
      </c>
      <c r="I23" s="76" t="n">
        <f aca="false">SUM(I17:I22)</f>
        <v>0</v>
      </c>
      <c r="J23" s="76" t="n">
        <f aca="false">SUM(J17:J22)</f>
        <v>0</v>
      </c>
      <c r="K23" s="76" t="n">
        <f aca="false">IFERROR((J23-I23)/I23*100,0)</f>
        <v>0</v>
      </c>
    </row>
    <row r="25" customFormat="false" ht="21.75" hidden="false" customHeight="true" outlineLevel="0" collapsed="false">
      <c r="B25" s="79" t="s">
        <v>78</v>
      </c>
      <c r="C25" s="79"/>
      <c r="D25" s="79"/>
      <c r="E25" s="79"/>
      <c r="F25" s="79"/>
      <c r="G25" s="79"/>
      <c r="H25" s="79"/>
      <c r="I25" s="79"/>
      <c r="J25" s="79"/>
    </row>
    <row r="26" customFormat="false" ht="18" hidden="false" customHeight="true" outlineLevel="0" collapsed="false">
      <c r="B26" s="68" t="s">
        <v>57</v>
      </c>
      <c r="C26" s="68" t="s">
        <v>82</v>
      </c>
      <c r="D26" s="68" t="s">
        <v>161</v>
      </c>
      <c r="E26" s="68" t="s">
        <v>162</v>
      </c>
      <c r="F26" s="68" t="s">
        <v>188</v>
      </c>
      <c r="G26" s="68" t="s">
        <v>164</v>
      </c>
      <c r="H26" s="68" t="s">
        <v>165</v>
      </c>
      <c r="I26" s="68" t="s">
        <v>166</v>
      </c>
      <c r="J26" s="68" t="s">
        <v>167</v>
      </c>
      <c r="K26" s="69" t="s">
        <v>168</v>
      </c>
    </row>
    <row r="27" customFormat="false" ht="18" hidden="false" customHeight="true" outlineLevel="0" collapsed="false">
      <c r="B27" s="89" t="s">
        <v>7</v>
      </c>
      <c r="C27" s="85" t="s">
        <v>87</v>
      </c>
      <c r="D27" s="71" t="s">
        <v>104</v>
      </c>
      <c r="E27" s="71" t="n">
        <v>0</v>
      </c>
      <c r="F27" s="71" t="n">
        <v>0</v>
      </c>
      <c r="G27" s="71" t="n">
        <v>0</v>
      </c>
      <c r="H27" s="71" t="n">
        <f aca="false">IFERROR(F27/E27*100,0)</f>
        <v>0</v>
      </c>
      <c r="I27" s="71" t="n">
        <v>0</v>
      </c>
      <c r="J27" s="71" t="n">
        <v>0</v>
      </c>
      <c r="K27" s="71" t="n">
        <f aca="false">IFERROR((J27-I27)/I27*100,0)</f>
        <v>0</v>
      </c>
    </row>
    <row r="28" customFormat="false" ht="18" hidden="false" customHeight="true" outlineLevel="0" collapsed="false">
      <c r="B28" s="89" t="s">
        <v>7</v>
      </c>
      <c r="C28" s="85" t="s">
        <v>87</v>
      </c>
      <c r="D28" s="74" t="s">
        <v>106</v>
      </c>
      <c r="E28" s="74" t="n">
        <v>0</v>
      </c>
      <c r="F28" s="74" t="n">
        <v>0</v>
      </c>
      <c r="G28" s="74" t="n">
        <v>0</v>
      </c>
      <c r="H28" s="74" t="n">
        <f aca="false">IFERROR(F28/E28*100,0)</f>
        <v>0</v>
      </c>
      <c r="I28" s="74" t="n">
        <v>0</v>
      </c>
      <c r="J28" s="74" t="n">
        <v>0</v>
      </c>
      <c r="K28" s="74" t="n">
        <f aca="false">IFERROR((J28-I28)/I28*100,0)</f>
        <v>0</v>
      </c>
    </row>
    <row r="29" customFormat="false" ht="18" hidden="false" customHeight="true" outlineLevel="0" collapsed="false">
      <c r="B29" s="89" t="s">
        <v>7</v>
      </c>
      <c r="C29" s="86" t="s">
        <v>91</v>
      </c>
      <c r="D29" s="71" t="s">
        <v>108</v>
      </c>
      <c r="E29" s="71" t="n">
        <v>0</v>
      </c>
      <c r="F29" s="71" t="n">
        <v>0</v>
      </c>
      <c r="G29" s="71" t="n">
        <v>0</v>
      </c>
      <c r="H29" s="71" t="n">
        <f aca="false">IFERROR(F29/E29*100,0)</f>
        <v>0</v>
      </c>
      <c r="I29" s="71" t="n">
        <v>0</v>
      </c>
      <c r="J29" s="71" t="n">
        <v>0</v>
      </c>
      <c r="K29" s="71" t="n">
        <f aca="false">IFERROR((J29-I29)/I29*100,0)</f>
        <v>0</v>
      </c>
    </row>
    <row r="30" customFormat="false" ht="18" hidden="false" customHeight="true" outlineLevel="0" collapsed="false">
      <c r="B30" s="89" t="s">
        <v>7</v>
      </c>
      <c r="C30" s="86" t="s">
        <v>91</v>
      </c>
      <c r="D30" s="74" t="s">
        <v>110</v>
      </c>
      <c r="E30" s="74" t="n">
        <v>0</v>
      </c>
      <c r="F30" s="74" t="n">
        <v>0</v>
      </c>
      <c r="G30" s="74" t="n">
        <v>0</v>
      </c>
      <c r="H30" s="74" t="n">
        <f aca="false">IFERROR(F30/E30*100,0)</f>
        <v>0</v>
      </c>
      <c r="I30" s="74" t="n">
        <v>0</v>
      </c>
      <c r="J30" s="74" t="n">
        <v>0</v>
      </c>
      <c r="K30" s="74" t="n">
        <f aca="false">IFERROR((J30-I30)/I30*100,0)</f>
        <v>0</v>
      </c>
    </row>
    <row r="31" customFormat="false" ht="18" hidden="false" customHeight="true" outlineLevel="0" collapsed="false">
      <c r="B31" s="89" t="s">
        <v>7</v>
      </c>
      <c r="C31" s="87" t="s">
        <v>96</v>
      </c>
      <c r="D31" s="71" t="s">
        <v>112</v>
      </c>
      <c r="E31" s="71" t="n">
        <v>0</v>
      </c>
      <c r="F31" s="71" t="n">
        <v>0</v>
      </c>
      <c r="G31" s="71" t="n">
        <v>0</v>
      </c>
      <c r="H31" s="71" t="n">
        <f aca="false">IFERROR(F31/E31*100,0)</f>
        <v>0</v>
      </c>
      <c r="I31" s="71" t="n">
        <v>0</v>
      </c>
      <c r="J31" s="71" t="n">
        <v>0</v>
      </c>
      <c r="K31" s="71" t="n">
        <f aca="false">IFERROR((J31-I31)/I31*100,0)</f>
        <v>0</v>
      </c>
    </row>
    <row r="32" customFormat="false" ht="18" hidden="false" customHeight="true" outlineLevel="0" collapsed="false">
      <c r="B32" s="89" t="s">
        <v>7</v>
      </c>
      <c r="C32" s="87" t="s">
        <v>96</v>
      </c>
      <c r="D32" s="74" t="s">
        <v>114</v>
      </c>
      <c r="E32" s="74" t="n">
        <v>0</v>
      </c>
      <c r="F32" s="74" t="n">
        <v>0</v>
      </c>
      <c r="G32" s="74" t="n">
        <v>0</v>
      </c>
      <c r="H32" s="74" t="n">
        <f aca="false">IFERROR(F32/E32*100,0)</f>
        <v>0</v>
      </c>
      <c r="I32" s="74" t="n">
        <v>0</v>
      </c>
      <c r="J32" s="74" t="n">
        <v>0</v>
      </c>
      <c r="K32" s="74" t="n">
        <f aca="false">IFERROR((J32-I32)/I32*100,0)</f>
        <v>0</v>
      </c>
    </row>
    <row r="33" customFormat="false" ht="19.5" hidden="false" customHeight="true" outlineLevel="0" collapsed="false">
      <c r="B33" s="76" t="s">
        <v>172</v>
      </c>
      <c r="C33" s="76"/>
      <c r="D33" s="76"/>
      <c r="E33" s="76" t="n">
        <f aca="false">SUM(E27:E32)</f>
        <v>0</v>
      </c>
      <c r="F33" s="76" t="n">
        <f aca="false">SUM(F27:F32)</f>
        <v>0</v>
      </c>
      <c r="G33" s="76" t="n">
        <f aca="false">SUM(G27:G32)</f>
        <v>0</v>
      </c>
      <c r="H33" s="76" t="n">
        <f aca="false">IFERROR(F33/E33*100,0)</f>
        <v>0</v>
      </c>
      <c r="I33" s="76" t="n">
        <f aca="false">SUM(I27:I32)</f>
        <v>0</v>
      </c>
      <c r="J33" s="76" t="n">
        <f aca="false">SUM(J27:J32)</f>
        <v>0</v>
      </c>
      <c r="K33" s="76" t="n">
        <f aca="false">IFERROR((J33-I33)/I33*100,0)</f>
        <v>0</v>
      </c>
    </row>
  </sheetData>
  <mergeCells count="4">
    <mergeCell ref="B2:J3"/>
    <mergeCell ref="B5:J5"/>
    <mergeCell ref="B15:J15"/>
    <mergeCell ref="B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2"/>
    <col collapsed="false" customWidth="true" hidden="false" outlineLevel="0" max="2" min="2" style="22" width="16"/>
    <col collapsed="false" customWidth="true" hidden="false" outlineLevel="0" max="3" min="3" style="22" width="12"/>
    <col collapsed="false" customWidth="true" hidden="false" outlineLevel="0" max="6" min="4" style="22" width="10"/>
    <col collapsed="false" customWidth="true" hidden="false" outlineLevel="0" max="9" min="7" style="22" width="12"/>
    <col collapsed="false" customWidth="true" hidden="false" outlineLevel="0" max="10" min="10" style="22" width="14"/>
    <col collapsed="false" customWidth="true" hidden="false" outlineLevel="0" max="11" min="11" style="22" width="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66" t="s">
        <v>189</v>
      </c>
      <c r="C2" s="66"/>
      <c r="D2" s="66"/>
      <c r="E2" s="66"/>
      <c r="F2" s="66"/>
      <c r="G2" s="66"/>
      <c r="H2" s="66"/>
      <c r="I2" s="66"/>
      <c r="J2" s="66"/>
    </row>
    <row r="3" customFormat="false" ht="18" hidden="false" customHeight="true" outlineLevel="0" collapsed="false">
      <c r="B3" s="66"/>
      <c r="C3" s="66"/>
      <c r="D3" s="66"/>
      <c r="E3" s="66"/>
      <c r="F3" s="66"/>
      <c r="G3" s="66"/>
      <c r="H3" s="66"/>
      <c r="I3" s="66"/>
      <c r="J3" s="66"/>
    </row>
    <row r="4" customFormat="false" ht="7.5" hidden="false" customHeight="true" outlineLevel="0" collapsed="false"/>
    <row r="5" customFormat="false" ht="18" hidden="false" customHeight="true" outlineLevel="0" collapsed="false">
      <c r="B5" s="46" t="s">
        <v>190</v>
      </c>
      <c r="C5" s="46"/>
      <c r="D5" s="46"/>
      <c r="E5" s="46"/>
      <c r="F5" s="46"/>
      <c r="G5" s="46"/>
      <c r="H5" s="46"/>
      <c r="I5" s="46"/>
      <c r="J5" s="46"/>
    </row>
    <row r="6" customFormat="false" ht="7.5" hidden="false" customHeight="true" outlineLevel="0" collapsed="false"/>
    <row r="7" customFormat="false" ht="21.75" hidden="false" customHeight="true" outlineLevel="0" collapsed="false">
      <c r="B7" s="90" t="s">
        <v>191</v>
      </c>
      <c r="C7" s="90"/>
      <c r="D7" s="90"/>
      <c r="E7" s="90"/>
      <c r="F7" s="90"/>
      <c r="G7" s="90"/>
      <c r="H7" s="90"/>
      <c r="I7" s="90"/>
      <c r="J7" s="90"/>
    </row>
    <row r="8" customFormat="false" ht="18" hidden="false" customHeight="true" outlineLevel="0" collapsed="false">
      <c r="B8" s="68" t="s">
        <v>192</v>
      </c>
      <c r="C8" s="68" t="s">
        <v>193</v>
      </c>
      <c r="D8" s="68" t="s">
        <v>162</v>
      </c>
      <c r="E8" s="68" t="s">
        <v>188</v>
      </c>
      <c r="F8" s="68" t="s">
        <v>164</v>
      </c>
      <c r="G8" s="68" t="s">
        <v>165</v>
      </c>
      <c r="H8" s="68" t="s">
        <v>166</v>
      </c>
      <c r="I8" s="68" t="s">
        <v>167</v>
      </c>
      <c r="J8" s="69" t="s">
        <v>168</v>
      </c>
    </row>
    <row r="9" customFormat="false" ht="19.5" hidden="false" customHeight="true" outlineLevel="0" collapsed="false">
      <c r="B9" s="91" t="s">
        <v>194</v>
      </c>
      <c r="C9" s="92" t="s">
        <v>195</v>
      </c>
      <c r="E9" s="93" t="n">
        <v>0</v>
      </c>
      <c r="F9" s="93" t="n">
        <v>0</v>
      </c>
      <c r="G9" s="93" t="n">
        <v>0</v>
      </c>
      <c r="H9" s="93" t="n">
        <f aca="false">IFERROR(F9/E9*100,0)</f>
        <v>0</v>
      </c>
      <c r="I9" s="93" t="n">
        <v>0</v>
      </c>
      <c r="J9" s="93" t="n">
        <v>0</v>
      </c>
      <c r="K9" s="93" t="n">
        <f aca="false">IFERROR((J9-I9)/I9*100,0)</f>
        <v>0</v>
      </c>
    </row>
    <row r="10" customFormat="false" ht="19.5" hidden="false" customHeight="true" outlineLevel="0" collapsed="false">
      <c r="B10" s="91" t="s">
        <v>194</v>
      </c>
      <c r="C10" s="94" t="s">
        <v>196</v>
      </c>
      <c r="E10" s="80" t="n">
        <v>0</v>
      </c>
      <c r="F10" s="80" t="n">
        <v>0</v>
      </c>
      <c r="G10" s="80" t="n">
        <v>0</v>
      </c>
      <c r="H10" s="80" t="n">
        <f aca="false">IFERROR(F10/E10*100,0)</f>
        <v>0</v>
      </c>
      <c r="I10" s="80" t="n">
        <v>0</v>
      </c>
      <c r="J10" s="80" t="n">
        <v>0</v>
      </c>
      <c r="K10" s="80" t="n">
        <f aca="false">IFERROR((J10-I10)/I10*100,0)</f>
        <v>0</v>
      </c>
    </row>
    <row r="11" customFormat="false" ht="19.5" hidden="false" customHeight="true" outlineLevel="0" collapsed="false">
      <c r="B11" s="76" t="s">
        <v>172</v>
      </c>
      <c r="C11" s="76"/>
      <c r="E11" s="76" t="n">
        <f aca="false">SUM(E9:E10)</f>
        <v>0</v>
      </c>
      <c r="F11" s="76" t="n">
        <f aca="false">SUM(F9:F10)</f>
        <v>0</v>
      </c>
      <c r="G11" s="76" t="n">
        <f aca="false">SUM(G9:G10)</f>
        <v>0</v>
      </c>
      <c r="H11" s="76" t="n">
        <f aca="false">IFERROR(F11/E11*100,0)</f>
        <v>0</v>
      </c>
      <c r="I11" s="76" t="n">
        <f aca="false">SUM(I9:I10)</f>
        <v>0</v>
      </c>
      <c r="J11" s="76" t="n">
        <f aca="false">SUM(J9:J10)</f>
        <v>0</v>
      </c>
      <c r="K11" s="76" t="n">
        <f aca="false">IFERROR((J11-I11)/I11*100,0)</f>
        <v>0</v>
      </c>
    </row>
    <row r="13" customFormat="false" ht="21.75" hidden="false" customHeight="true" outlineLevel="0" collapsed="false">
      <c r="B13" s="95" t="s">
        <v>197</v>
      </c>
      <c r="C13" s="95"/>
      <c r="D13" s="95"/>
      <c r="E13" s="95"/>
      <c r="F13" s="95"/>
      <c r="G13" s="95"/>
      <c r="H13" s="95"/>
      <c r="I13" s="95"/>
      <c r="J13" s="95"/>
    </row>
    <row r="14" customFormat="false" ht="18" hidden="false" customHeight="true" outlineLevel="0" collapsed="false">
      <c r="B14" s="68" t="s">
        <v>192</v>
      </c>
      <c r="C14" s="68" t="s">
        <v>193</v>
      </c>
      <c r="D14" s="68" t="s">
        <v>162</v>
      </c>
      <c r="E14" s="68" t="s">
        <v>188</v>
      </c>
      <c r="F14" s="68" t="s">
        <v>164</v>
      </c>
      <c r="G14" s="68" t="s">
        <v>165</v>
      </c>
      <c r="H14" s="68" t="s">
        <v>166</v>
      </c>
      <c r="I14" s="68" t="s">
        <v>167</v>
      </c>
      <c r="J14" s="69" t="s">
        <v>168</v>
      </c>
    </row>
    <row r="15" customFormat="false" ht="19.5" hidden="false" customHeight="true" outlineLevel="0" collapsed="false">
      <c r="B15" s="96" t="s">
        <v>198</v>
      </c>
      <c r="C15" s="92" t="s">
        <v>195</v>
      </c>
      <c r="E15" s="93" t="n">
        <v>0</v>
      </c>
      <c r="F15" s="93" t="n">
        <v>0</v>
      </c>
      <c r="G15" s="93" t="n">
        <v>0</v>
      </c>
      <c r="H15" s="93" t="n">
        <f aca="false">IFERROR(F15/E15*100,0)</f>
        <v>0</v>
      </c>
      <c r="I15" s="93" t="n">
        <v>0</v>
      </c>
      <c r="J15" s="93" t="n">
        <v>0</v>
      </c>
      <c r="K15" s="93" t="n">
        <f aca="false">IFERROR((J15-I15)/I15*100,0)</f>
        <v>0</v>
      </c>
    </row>
    <row r="16" customFormat="false" ht="19.5" hidden="false" customHeight="true" outlineLevel="0" collapsed="false">
      <c r="B16" s="96" t="s">
        <v>198</v>
      </c>
      <c r="C16" s="94" t="s">
        <v>196</v>
      </c>
      <c r="E16" s="80" t="n">
        <v>0</v>
      </c>
      <c r="F16" s="80" t="n">
        <v>0</v>
      </c>
      <c r="G16" s="80" t="n">
        <v>0</v>
      </c>
      <c r="H16" s="80" t="n">
        <f aca="false">IFERROR(F16/E16*100,0)</f>
        <v>0</v>
      </c>
      <c r="I16" s="80" t="n">
        <v>0</v>
      </c>
      <c r="J16" s="80" t="n">
        <v>0</v>
      </c>
      <c r="K16" s="80" t="n">
        <f aca="false">IFERROR((J16-I16)/I16*100,0)</f>
        <v>0</v>
      </c>
    </row>
    <row r="17" customFormat="false" ht="19.5" hidden="false" customHeight="true" outlineLevel="0" collapsed="false">
      <c r="B17" s="76" t="s">
        <v>172</v>
      </c>
      <c r="C17" s="76"/>
      <c r="E17" s="76" t="n">
        <f aca="false">SUM(E15:E16)</f>
        <v>0</v>
      </c>
      <c r="F17" s="76" t="n">
        <f aca="false">SUM(F15:F16)</f>
        <v>0</v>
      </c>
      <c r="G17" s="76" t="n">
        <f aca="false">SUM(G15:G16)</f>
        <v>0</v>
      </c>
      <c r="H17" s="76" t="n">
        <f aca="false">IFERROR(F17/E17*100,0)</f>
        <v>0</v>
      </c>
      <c r="I17" s="76" t="n">
        <f aca="false">SUM(I15:I16)</f>
        <v>0</v>
      </c>
      <c r="J17" s="76" t="n">
        <f aca="false">SUM(J15:J16)</f>
        <v>0</v>
      </c>
      <c r="K17" s="76" t="n">
        <f aca="false">IFERROR((J17-I17)/I17*100,0)</f>
        <v>0</v>
      </c>
    </row>
    <row r="19" customFormat="false" ht="21.75" hidden="false" customHeight="true" outlineLevel="0" collapsed="false">
      <c r="B19" s="97" t="s">
        <v>199</v>
      </c>
      <c r="C19" s="97"/>
      <c r="D19" s="97"/>
      <c r="E19" s="97"/>
      <c r="F19" s="97"/>
      <c r="G19" s="97"/>
      <c r="H19" s="97"/>
      <c r="I19" s="97"/>
      <c r="J19" s="97"/>
    </row>
    <row r="20" customFormat="false" ht="18" hidden="false" customHeight="true" outlineLevel="0" collapsed="false">
      <c r="B20" s="68" t="s">
        <v>192</v>
      </c>
      <c r="C20" s="68" t="s">
        <v>193</v>
      </c>
      <c r="D20" s="68" t="s">
        <v>162</v>
      </c>
      <c r="E20" s="68" t="s">
        <v>188</v>
      </c>
      <c r="F20" s="68" t="s">
        <v>164</v>
      </c>
      <c r="G20" s="68" t="s">
        <v>165</v>
      </c>
      <c r="H20" s="68" t="s">
        <v>166</v>
      </c>
      <c r="I20" s="68" t="s">
        <v>167</v>
      </c>
      <c r="J20" s="69" t="s">
        <v>168</v>
      </c>
    </row>
    <row r="21" customFormat="false" ht="19.5" hidden="false" customHeight="true" outlineLevel="0" collapsed="false">
      <c r="B21" s="98" t="s">
        <v>200</v>
      </c>
      <c r="C21" s="92" t="s">
        <v>195</v>
      </c>
      <c r="E21" s="93" t="n">
        <v>0</v>
      </c>
      <c r="F21" s="93" t="n">
        <v>0</v>
      </c>
      <c r="G21" s="93" t="n">
        <v>0</v>
      </c>
      <c r="H21" s="93" t="n">
        <f aca="false">IFERROR(F21/E21*100,0)</f>
        <v>0</v>
      </c>
      <c r="I21" s="93" t="n">
        <v>0</v>
      </c>
      <c r="J21" s="93" t="n">
        <v>0</v>
      </c>
      <c r="K21" s="93" t="n">
        <f aca="false">IFERROR((J21-I21)/I21*100,0)</f>
        <v>0</v>
      </c>
    </row>
    <row r="22" customFormat="false" ht="19.5" hidden="false" customHeight="true" outlineLevel="0" collapsed="false">
      <c r="B22" s="98" t="s">
        <v>200</v>
      </c>
      <c r="C22" s="94" t="s">
        <v>196</v>
      </c>
      <c r="E22" s="80" t="n">
        <v>0</v>
      </c>
      <c r="F22" s="80" t="n">
        <v>0</v>
      </c>
      <c r="G22" s="80" t="n">
        <v>0</v>
      </c>
      <c r="H22" s="80" t="n">
        <f aca="false">IFERROR(F22/E22*100,0)</f>
        <v>0</v>
      </c>
      <c r="I22" s="80" t="n">
        <v>0</v>
      </c>
      <c r="J22" s="80" t="n">
        <v>0</v>
      </c>
      <c r="K22" s="80" t="n">
        <f aca="false">IFERROR((J22-I22)/I22*100,0)</f>
        <v>0</v>
      </c>
    </row>
    <row r="23" customFormat="false" ht="19.5" hidden="false" customHeight="true" outlineLevel="0" collapsed="false">
      <c r="B23" s="76" t="s">
        <v>172</v>
      </c>
      <c r="C23" s="76"/>
      <c r="E23" s="76" t="n">
        <f aca="false">SUM(E21:E22)</f>
        <v>0</v>
      </c>
      <c r="F23" s="76" t="n">
        <f aca="false">SUM(F21:F22)</f>
        <v>0</v>
      </c>
      <c r="G23" s="76" t="n">
        <f aca="false">SUM(G21:G22)</f>
        <v>0</v>
      </c>
      <c r="H23" s="76" t="n">
        <f aca="false">IFERROR(F23/E23*100,0)</f>
        <v>0</v>
      </c>
      <c r="I23" s="76" t="n">
        <f aca="false">SUM(I21:I22)</f>
        <v>0</v>
      </c>
      <c r="J23" s="76" t="n">
        <f aca="false">SUM(J21:J22)</f>
        <v>0</v>
      </c>
      <c r="K23" s="76" t="n">
        <f aca="false">IFERROR((J23-I23)/I23*100,0)</f>
        <v>0</v>
      </c>
    </row>
    <row r="25" customFormat="false" ht="21.75" hidden="false" customHeight="true" outlineLevel="0" collapsed="false">
      <c r="B25" s="99" t="s">
        <v>201</v>
      </c>
      <c r="C25" s="99"/>
      <c r="D25" s="99"/>
      <c r="E25" s="99"/>
      <c r="F25" s="99"/>
      <c r="G25" s="99"/>
      <c r="H25" s="99"/>
      <c r="I25" s="99"/>
      <c r="J25" s="99"/>
    </row>
    <row r="26" customFormat="false" ht="18" hidden="false" customHeight="true" outlineLevel="0" collapsed="false">
      <c r="B26" s="68" t="s">
        <v>192</v>
      </c>
      <c r="C26" s="68" t="s">
        <v>193</v>
      </c>
      <c r="D26" s="68" t="s">
        <v>162</v>
      </c>
      <c r="E26" s="68" t="s">
        <v>188</v>
      </c>
      <c r="F26" s="68" t="s">
        <v>164</v>
      </c>
      <c r="G26" s="68" t="s">
        <v>165</v>
      </c>
      <c r="H26" s="68" t="s">
        <v>166</v>
      </c>
      <c r="I26" s="68" t="s">
        <v>167</v>
      </c>
      <c r="J26" s="69" t="s">
        <v>168</v>
      </c>
    </row>
    <row r="27" customFormat="false" ht="19.5" hidden="false" customHeight="true" outlineLevel="0" collapsed="false">
      <c r="B27" s="100" t="s">
        <v>202</v>
      </c>
      <c r="C27" s="92" t="s">
        <v>195</v>
      </c>
      <c r="E27" s="93" t="n">
        <v>0</v>
      </c>
      <c r="F27" s="93" t="n">
        <v>0</v>
      </c>
      <c r="G27" s="93" t="n">
        <v>0</v>
      </c>
      <c r="H27" s="93" t="n">
        <f aca="false">IFERROR(F27/E27*100,0)</f>
        <v>0</v>
      </c>
      <c r="I27" s="93" t="n">
        <v>0</v>
      </c>
      <c r="J27" s="93" t="n">
        <v>0</v>
      </c>
      <c r="K27" s="93" t="n">
        <f aca="false">IFERROR((J27-I27)/I27*100,0)</f>
        <v>0</v>
      </c>
    </row>
    <row r="28" customFormat="false" ht="19.5" hidden="false" customHeight="true" outlineLevel="0" collapsed="false">
      <c r="B28" s="100" t="s">
        <v>202</v>
      </c>
      <c r="C28" s="94" t="s">
        <v>196</v>
      </c>
      <c r="E28" s="80" t="n">
        <v>0</v>
      </c>
      <c r="F28" s="80" t="n">
        <v>0</v>
      </c>
      <c r="G28" s="80" t="n">
        <v>0</v>
      </c>
      <c r="H28" s="80" t="n">
        <f aca="false">IFERROR(F28/E28*100,0)</f>
        <v>0</v>
      </c>
      <c r="I28" s="80" t="n">
        <v>0</v>
      </c>
      <c r="J28" s="80" t="n">
        <v>0</v>
      </c>
      <c r="K28" s="80" t="n">
        <f aca="false">IFERROR((J28-I28)/I28*100,0)</f>
        <v>0</v>
      </c>
    </row>
    <row r="29" customFormat="false" ht="19.5" hidden="false" customHeight="true" outlineLevel="0" collapsed="false">
      <c r="B29" s="76" t="s">
        <v>172</v>
      </c>
      <c r="C29" s="76"/>
      <c r="E29" s="76" t="n">
        <f aca="false">SUM(E27:E28)</f>
        <v>0</v>
      </c>
      <c r="F29" s="76" t="n">
        <f aca="false">SUM(F27:F28)</f>
        <v>0</v>
      </c>
      <c r="G29" s="76" t="n">
        <f aca="false">SUM(G27:G28)</f>
        <v>0</v>
      </c>
      <c r="H29" s="76" t="n">
        <f aca="false">IFERROR(F29/E29*100,0)</f>
        <v>0</v>
      </c>
      <c r="I29" s="76" t="n">
        <f aca="false">SUM(I27:I28)</f>
        <v>0</v>
      </c>
      <c r="J29" s="76" t="n">
        <f aca="false">SUM(J27:J28)</f>
        <v>0</v>
      </c>
      <c r="K29" s="76" t="n">
        <f aca="false">IFERROR((J29-I29)/I29*100,0)</f>
        <v>0</v>
      </c>
    </row>
  </sheetData>
  <mergeCells count="6">
    <mergeCell ref="B2:J3"/>
    <mergeCell ref="B5:J5"/>
    <mergeCell ref="B7:J7"/>
    <mergeCell ref="B13:J13"/>
    <mergeCell ref="B19:J19"/>
    <mergeCell ref="B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9" min="7" style="0" width="12"/>
    <col collapsed="false" customWidth="true" hidden="false" outlineLevel="0" max="10" min="10" style="0" width="14"/>
    <col collapsed="false" customWidth="true" hidden="false" outlineLevel="0" max="11" min="11" style="0" width="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101" t="s">
        <v>203</v>
      </c>
      <c r="C2" s="101"/>
      <c r="D2" s="101"/>
      <c r="E2" s="101"/>
      <c r="F2" s="101"/>
      <c r="G2" s="101"/>
      <c r="H2" s="101"/>
      <c r="I2" s="101"/>
      <c r="J2" s="101"/>
    </row>
    <row r="3" customFormat="false" ht="18" hidden="false" customHeight="true" outlineLevel="0" collapsed="false">
      <c r="B3" s="101"/>
      <c r="C3" s="101"/>
      <c r="D3" s="101"/>
      <c r="E3" s="101"/>
      <c r="F3" s="101"/>
      <c r="G3" s="101"/>
      <c r="H3" s="101"/>
      <c r="I3" s="101"/>
      <c r="J3" s="101"/>
    </row>
    <row r="4" customFormat="false" ht="7.5" hidden="false" customHeight="true" outlineLevel="0" collapsed="false"/>
    <row r="5" customFormat="false" ht="18" hidden="false" customHeight="true" outlineLevel="0" collapsed="false">
      <c r="B5" s="102" t="s">
        <v>82</v>
      </c>
      <c r="C5" s="102" t="s">
        <v>138</v>
      </c>
      <c r="D5" s="102" t="s">
        <v>162</v>
      </c>
      <c r="E5" s="102" t="s">
        <v>163</v>
      </c>
      <c r="F5" s="102" t="s">
        <v>164</v>
      </c>
      <c r="G5" s="102" t="s">
        <v>204</v>
      </c>
      <c r="H5" s="102" t="s">
        <v>166</v>
      </c>
      <c r="I5" s="102" t="s">
        <v>167</v>
      </c>
      <c r="J5" s="69" t="s">
        <v>168</v>
      </c>
    </row>
    <row r="6" customFormat="false" ht="19.5" hidden="false" customHeight="true" outlineLevel="0" collapsed="false">
      <c r="B6" s="92"/>
      <c r="C6" s="71"/>
      <c r="D6" s="71" t="n">
        <v>0</v>
      </c>
      <c r="E6" s="71" t="n">
        <v>0</v>
      </c>
      <c r="F6" s="71" t="n">
        <v>0</v>
      </c>
      <c r="G6" s="71" t="n">
        <f aca="false">IFERROR(E6/D6*100,0)</f>
        <v>0</v>
      </c>
      <c r="H6" s="71" t="n">
        <v>0</v>
      </c>
      <c r="I6" s="71" t="n">
        <v>0</v>
      </c>
      <c r="J6" s="71" t="n">
        <f aca="false">IFERROR((I6-H6)/H6*100,0)</f>
        <v>0</v>
      </c>
    </row>
    <row r="7" customFormat="false" ht="19.5" hidden="false" customHeight="true" outlineLevel="0" collapsed="false">
      <c r="B7" s="94"/>
      <c r="C7" s="74"/>
      <c r="D7" s="74" t="n">
        <v>0</v>
      </c>
      <c r="E7" s="74" t="n">
        <v>0</v>
      </c>
      <c r="F7" s="74" t="n">
        <v>0</v>
      </c>
      <c r="G7" s="74" t="n">
        <f aca="false">IFERROR(E7/D7*100,0)</f>
        <v>0</v>
      </c>
      <c r="H7" s="74" t="n">
        <v>0</v>
      </c>
      <c r="I7" s="74" t="n">
        <v>0</v>
      </c>
      <c r="J7" s="74" t="n">
        <f aca="false">IFERROR((I7-H7)/H7*100,0)</f>
        <v>0</v>
      </c>
    </row>
    <row r="8" customFormat="false" ht="19.5" hidden="false" customHeight="true" outlineLevel="0" collapsed="false">
      <c r="B8" s="103"/>
      <c r="C8" s="71"/>
      <c r="D8" s="71" t="n">
        <v>0</v>
      </c>
      <c r="E8" s="71" t="n">
        <v>0</v>
      </c>
      <c r="F8" s="71" t="n">
        <v>0</v>
      </c>
      <c r="G8" s="71" t="n">
        <f aca="false">IFERROR(E8/D8*100,0)</f>
        <v>0</v>
      </c>
      <c r="H8" s="71" t="n">
        <v>0</v>
      </c>
      <c r="I8" s="71" t="n">
        <v>0</v>
      </c>
      <c r="J8" s="71" t="n">
        <f aca="false">IFERROR((I8-H8)/H8*100,0)</f>
        <v>0</v>
      </c>
    </row>
    <row r="9" customFormat="false" ht="19.5" hidden="false" customHeight="true" outlineLevel="0" collapsed="false">
      <c r="B9" s="103"/>
      <c r="C9" s="74"/>
      <c r="D9" s="74" t="n">
        <v>0</v>
      </c>
      <c r="E9" s="74" t="n">
        <v>0</v>
      </c>
      <c r="F9" s="74" t="n">
        <v>0</v>
      </c>
      <c r="G9" s="74" t="n">
        <f aca="false">IFERROR(E9/D9*100,0)</f>
        <v>0</v>
      </c>
      <c r="H9" s="74" t="n">
        <v>0</v>
      </c>
      <c r="I9" s="74" t="n">
        <v>0</v>
      </c>
      <c r="J9" s="74" t="n">
        <f aca="false">IFERROR((I9-H9)/H9*100,0)</f>
        <v>0</v>
      </c>
    </row>
    <row r="10" customFormat="false" ht="19.5" hidden="false" customHeight="true" outlineLevel="0" collapsed="false">
      <c r="B10" s="104" t="s">
        <v>172</v>
      </c>
      <c r="C10" s="104"/>
      <c r="D10" s="104" t="n">
        <f aca="false">SUM(D6:D9)</f>
        <v>0</v>
      </c>
      <c r="E10" s="104" t="n">
        <f aca="false">SUM(E6:E9)</f>
        <v>0</v>
      </c>
      <c r="F10" s="104" t="n">
        <f aca="false">SUM(F6:F9)</f>
        <v>0</v>
      </c>
      <c r="G10" s="104" t="n">
        <f aca="false">IFERROR(E10/D10*100,0)</f>
        <v>0</v>
      </c>
      <c r="H10" s="104" t="n">
        <f aca="false">SUM(H6:H9)</f>
        <v>0</v>
      </c>
      <c r="I10" s="104" t="n">
        <f aca="false">SUM(I6:I9)</f>
        <v>0</v>
      </c>
      <c r="J10" s="104" t="n">
        <f aca="false">IFERROR((I10-H10)/H10*100,0)</f>
        <v>0</v>
      </c>
    </row>
  </sheetData>
  <mergeCells count="1">
    <mergeCell ref="B2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9" min="7" style="0" width="12"/>
    <col collapsed="false" customWidth="true" hidden="false" outlineLevel="0" max="10" min="10" style="0" width="14"/>
    <col collapsed="false" customWidth="true" hidden="false" outlineLevel="0" max="11" min="11" style="0" width="2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101" t="s">
        <v>205</v>
      </c>
      <c r="C2" s="101"/>
      <c r="D2" s="101"/>
      <c r="E2" s="101"/>
      <c r="F2" s="101"/>
      <c r="G2" s="101"/>
      <c r="H2" s="101"/>
      <c r="I2" s="101"/>
      <c r="J2" s="101"/>
    </row>
    <row r="3" customFormat="false" ht="18" hidden="false" customHeight="true" outlineLevel="0" collapsed="false">
      <c r="B3" s="101"/>
      <c r="C3" s="101"/>
      <c r="D3" s="101"/>
      <c r="E3" s="101"/>
      <c r="F3" s="101"/>
      <c r="G3" s="101"/>
      <c r="H3" s="101"/>
      <c r="I3" s="101"/>
      <c r="J3" s="101"/>
    </row>
    <row r="4" customFormat="false" ht="7.5" hidden="false" customHeight="true" outlineLevel="0" collapsed="false"/>
    <row r="5" customFormat="false" ht="18" hidden="false" customHeight="true" outlineLevel="0" collapsed="false">
      <c r="B5" s="102" t="s">
        <v>206</v>
      </c>
      <c r="C5" s="102" t="s">
        <v>193</v>
      </c>
      <c r="D5" s="102" t="s">
        <v>162</v>
      </c>
      <c r="E5" s="102" t="s">
        <v>207</v>
      </c>
      <c r="F5" s="102" t="s">
        <v>164</v>
      </c>
      <c r="G5" s="102" t="s">
        <v>204</v>
      </c>
      <c r="H5" s="102" t="s">
        <v>166</v>
      </c>
      <c r="I5" s="102" t="s">
        <v>167</v>
      </c>
      <c r="J5" s="69" t="s">
        <v>168</v>
      </c>
    </row>
    <row r="6" customFormat="false" ht="19.5" hidden="false" customHeight="true" outlineLevel="0" collapsed="false">
      <c r="B6" s="105" t="s">
        <v>208</v>
      </c>
      <c r="C6" s="92" t="s">
        <v>209</v>
      </c>
      <c r="E6" s="93" t="n">
        <v>0</v>
      </c>
      <c r="F6" s="93" t="n">
        <v>0</v>
      </c>
      <c r="G6" s="93" t="n">
        <v>0</v>
      </c>
      <c r="H6" s="93" t="n">
        <f aca="false">IFERROR(F6/E6*100,0)</f>
        <v>0</v>
      </c>
      <c r="I6" s="93" t="n">
        <v>0</v>
      </c>
      <c r="J6" s="93" t="n">
        <v>0</v>
      </c>
      <c r="K6" s="93" t="n">
        <f aca="false">IFERROR((J6-I6)/I6*100,0)</f>
        <v>0</v>
      </c>
    </row>
    <row r="7" customFormat="false" ht="19.5" hidden="false" customHeight="true" outlineLevel="0" collapsed="false">
      <c r="B7" s="105" t="s">
        <v>208</v>
      </c>
      <c r="C7" s="94" t="s">
        <v>210</v>
      </c>
      <c r="E7" s="80" t="n">
        <v>0</v>
      </c>
      <c r="F7" s="80" t="n">
        <v>0</v>
      </c>
      <c r="G7" s="80" t="n">
        <v>0</v>
      </c>
      <c r="H7" s="80" t="n">
        <f aca="false">IFERROR(F7/E7*100,0)</f>
        <v>0</v>
      </c>
      <c r="I7" s="80" t="n">
        <v>0</v>
      </c>
      <c r="J7" s="80" t="n">
        <v>0</v>
      </c>
      <c r="K7" s="80" t="n">
        <f aca="false">IFERROR((J7-I7)/I7*100,0)</f>
        <v>0</v>
      </c>
    </row>
    <row r="8" customFormat="false" ht="19.5" hidden="false" customHeight="true" outlineLevel="0" collapsed="false">
      <c r="B8" s="106" t="s">
        <v>211</v>
      </c>
      <c r="C8" s="92" t="s">
        <v>209</v>
      </c>
      <c r="E8" s="93" t="n">
        <v>0</v>
      </c>
      <c r="F8" s="93" t="n">
        <v>0</v>
      </c>
      <c r="G8" s="93" t="n">
        <v>0</v>
      </c>
      <c r="H8" s="93" t="n">
        <f aca="false">IFERROR(F8/E8*100,0)</f>
        <v>0</v>
      </c>
      <c r="I8" s="93" t="n">
        <v>0</v>
      </c>
      <c r="J8" s="93" t="n">
        <v>0</v>
      </c>
      <c r="K8" s="93" t="n">
        <f aca="false">IFERROR((J8-I8)/I8*100,0)</f>
        <v>0</v>
      </c>
    </row>
    <row r="9" customFormat="false" ht="19.5" hidden="false" customHeight="true" outlineLevel="0" collapsed="false">
      <c r="B9" s="106" t="s">
        <v>211</v>
      </c>
      <c r="C9" s="94" t="s">
        <v>210</v>
      </c>
      <c r="E9" s="80" t="n">
        <v>0</v>
      </c>
      <c r="F9" s="80" t="n">
        <v>0</v>
      </c>
      <c r="G9" s="80" t="n">
        <v>0</v>
      </c>
      <c r="H9" s="80" t="n">
        <f aca="false">IFERROR(F9/E9*100,0)</f>
        <v>0</v>
      </c>
      <c r="I9" s="80" t="n">
        <v>0</v>
      </c>
      <c r="J9" s="80" t="n">
        <v>0</v>
      </c>
      <c r="K9" s="80" t="n">
        <f aca="false">IFERROR((J9-I9)/I9*100,0)</f>
        <v>0</v>
      </c>
    </row>
    <row r="10" customFormat="false" ht="19.5" hidden="false" customHeight="true" outlineLevel="0" collapsed="false">
      <c r="B10" s="104" t="s">
        <v>172</v>
      </c>
      <c r="C10" s="104"/>
      <c r="E10" s="104" t="n">
        <f aca="false">SUM(E6:E9)</f>
        <v>0</v>
      </c>
      <c r="F10" s="104" t="n">
        <f aca="false">SUM(F6:F9)</f>
        <v>0</v>
      </c>
      <c r="G10" s="104" t="n">
        <f aca="false">SUM(G6:G9)</f>
        <v>0</v>
      </c>
      <c r="H10" s="104" t="n">
        <f aca="false">IFERROR(F10/E10*100,0)</f>
        <v>0</v>
      </c>
      <c r="I10" s="104" t="n">
        <f aca="false">SUM(I6:I9)</f>
        <v>0</v>
      </c>
      <c r="J10" s="104" t="n">
        <f aca="false">SUM(J6:J9)</f>
        <v>0</v>
      </c>
      <c r="K10" s="104" t="n">
        <f aca="false">IFERROR((J10-I10)/I10*100,0)</f>
        <v>0</v>
      </c>
    </row>
  </sheetData>
  <mergeCells count="1">
    <mergeCell ref="B2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2026-06-24T11:43:00Z</dcterms:created>
  <dc:creator>openpyxl</dc:creator>
  <dc:description/>
  <dc:language>en-US</dc:language>
  <cp:lastModifiedBy/>
  <dcterms:modified xsi:type="dcterms:W3CDTF">2026-06-24T15:54:16Z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